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ulien/Documents/GALA VIDEO/GALA-VIDEO/"/>
    </mc:Choice>
  </mc:AlternateContent>
  <xr:revisionPtr revIDLastSave="0" documentId="13_ncr:1_{46DC2B10-1A9F-344E-8C74-AC9D220D88B2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Déroulé" sheetId="1" r:id="rId1"/>
    <sheet name="Déroulé résumé" sheetId="6" r:id="rId2"/>
    <sheet name="Final" sheetId="3" r:id="rId3"/>
    <sheet name="Liste passages + Précipités" sheetId="8" r:id="rId4"/>
    <sheet name="Participants Gala" sheetId="5" r:id="rId5"/>
  </sheets>
  <definedNames>
    <definedName name="_xlnm._FilterDatabase" localSheetId="0" hidden="1">Déroulé!$B$4:$J$72</definedName>
    <definedName name="_xlnm.Print_Area" localSheetId="0">Déroulé!$B$1:$N$72</definedName>
    <definedName name="_xlnm.Print_Area" localSheetId="1">'Déroulé résumé'!$A$1:$G$34</definedName>
    <definedName name="_xlnm.Print_Area" localSheetId="3">'Liste passages + Précipités'!$A$1:$AW$92</definedName>
    <definedName name="_xlnm.Print_Area" localSheetId="4">'Participants Gala'!$A$1:$Q$57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8tNqTw3+NzFsQVNGWieeFV7N2e/TquAHVJGjuqIgOY="/>
    </ext>
  </extLst>
</workbook>
</file>

<file path=xl/calcChain.xml><?xml version="1.0" encoding="utf-8"?>
<calcChain xmlns="http://schemas.openxmlformats.org/spreadsheetml/2006/main">
  <c r="M36" i="1" l="1"/>
  <c r="M2" i="1"/>
  <c r="C54" i="8"/>
  <c r="AJ13" i="8"/>
  <c r="AD13" i="8"/>
  <c r="X13" i="8"/>
  <c r="R13" i="8"/>
  <c r="F13" i="8"/>
  <c r="C13" i="8"/>
  <c r="I13" i="8"/>
  <c r="L13" i="8"/>
  <c r="F54" i="8"/>
  <c r="I54" i="8"/>
  <c r="L54" i="8"/>
  <c r="O54" i="8"/>
  <c r="R54" i="8"/>
  <c r="U54" i="8"/>
  <c r="O13" i="8"/>
  <c r="U13" i="8"/>
  <c r="AA13" i="8"/>
  <c r="AG13" i="8"/>
  <c r="X54" i="8"/>
  <c r="AA54" i="8"/>
  <c r="AD54" i="8"/>
  <c r="AG54" i="8"/>
  <c r="AJ54" i="8"/>
  <c r="AM54" i="8"/>
  <c r="AP54" i="8"/>
  <c r="M1" i="1" l="1"/>
  <c r="H2" i="1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G36" i="1"/>
  <c r="C36" i="1"/>
  <c r="H36" i="1" l="1"/>
  <c r="H1" i="1" s="1"/>
</calcChain>
</file>

<file path=xl/sharedStrings.xml><?xml version="1.0" encoding="utf-8"?>
<sst xmlns="http://schemas.openxmlformats.org/spreadsheetml/2006/main" count="1782" uniqueCount="661">
  <si>
    <t>Déroulé total + entracte</t>
  </si>
  <si>
    <t xml:space="preserve">PARTIE I </t>
  </si>
  <si>
    <t>INTERFACES loges/coulisses/scène:</t>
  </si>
  <si>
    <t>BALLETS</t>
  </si>
  <si>
    <t>GROUPE(S) - Nb</t>
  </si>
  <si>
    <t>ENTREE Danseurs</t>
  </si>
  <si>
    <t>SORTIE Danseurs</t>
  </si>
  <si>
    <t>COSTUMES &amp; ACCESSOIRES</t>
  </si>
  <si>
    <t>MIN.</t>
  </si>
  <si>
    <t>TITRE(S)</t>
  </si>
  <si>
    <t>AUTEUR(S)</t>
  </si>
  <si>
    <t>P1 00 0</t>
  </si>
  <si>
    <t>DISCOURS OUVERTURE :</t>
  </si>
  <si>
    <t>P1 01 0</t>
  </si>
  <si>
    <t>TRANSITION :</t>
  </si>
  <si>
    <t>Ouverture rideau</t>
  </si>
  <si>
    <t>P1 01 1</t>
  </si>
  <si>
    <t>P1 02 1</t>
  </si>
  <si>
    <t>P1 03 1</t>
  </si>
  <si>
    <t>P1 04 1</t>
  </si>
  <si>
    <t>P1 05 1</t>
  </si>
  <si>
    <t>P1 06 1</t>
  </si>
  <si>
    <t>P1 07 1</t>
  </si>
  <si>
    <t>P1 08 1</t>
  </si>
  <si>
    <t>P1 09 1</t>
  </si>
  <si>
    <t>P1 10 1</t>
  </si>
  <si>
    <t>P1 11 1</t>
  </si>
  <si>
    <t>Fermeture rideau</t>
  </si>
  <si>
    <t>ENTRACTE :</t>
  </si>
  <si>
    <t xml:space="preserve">PARTIE II </t>
  </si>
  <si>
    <t>COSTUMES</t>
  </si>
  <si>
    <t>P2 01 0</t>
  </si>
  <si>
    <t>P2 01 1</t>
  </si>
  <si>
    <t>P2 02 1</t>
  </si>
  <si>
    <t>P2 03 1</t>
  </si>
  <si>
    <t>P2.4.1</t>
  </si>
  <si>
    <t>P2 05 1</t>
  </si>
  <si>
    <t>P2 06 1</t>
  </si>
  <si>
    <t>P2 07 1</t>
  </si>
  <si>
    <t>P2 08 1</t>
  </si>
  <si>
    <t>P2 09 1</t>
  </si>
  <si>
    <t>P2 10 1</t>
  </si>
  <si>
    <t>P2 11 1</t>
  </si>
  <si>
    <t>P2 12 1</t>
  </si>
  <si>
    <t>P2 14 1</t>
  </si>
  <si>
    <t>FINAL</t>
  </si>
  <si>
    <t>Tous les groupes</t>
  </si>
  <si>
    <t>Défilé en ligne + ensemble</t>
  </si>
  <si>
    <t>MODERN'JAZZ
Ado  (12)</t>
  </si>
  <si>
    <t>SOLO
Orianne  (1)</t>
  </si>
  <si>
    <t>Accessoires / Mise en scène :</t>
  </si>
  <si>
    <t>GALA du Dimanche 24/05/2026:</t>
  </si>
  <si>
    <t>Partie + Numéro</t>
  </si>
  <si>
    <t xml:space="preserve"> EVEIL (9)</t>
  </si>
  <si>
    <t>INIT LUNDI 17H15</t>
  </si>
  <si>
    <t>INITIATION  (10)</t>
  </si>
  <si>
    <t>Jazz MERCR 15H45
ENFANT</t>
  </si>
  <si>
    <t>20 mn (30 mn en 2024)</t>
  </si>
  <si>
    <t>à compléter si besoin</t>
  </si>
  <si>
    <t>MODERN'JAZZ Enfant (16)</t>
  </si>
  <si>
    <t>BOLLYWOOD
Adulte Débutant (16)</t>
  </si>
  <si>
    <t>MODERN'JAZZ
Avancé  (13)</t>
  </si>
  <si>
    <t>MODERN'JAZZ
Enfant (16)</t>
  </si>
  <si>
    <t>Vidéo Enfant 2</t>
  </si>
  <si>
    <t>Vidéo Enfant 3</t>
  </si>
  <si>
    <t>P1 05 0</t>
  </si>
  <si>
    <t>P1 08 0</t>
  </si>
  <si>
    <t>P1 09 0</t>
  </si>
  <si>
    <t>Vidéo Danse (Orianne)</t>
  </si>
  <si>
    <t>BOLLYWOOD
Intermédiaire (20-21)</t>
  </si>
  <si>
    <t>MODERN'JAZZ
Prépa Jazz  (16)</t>
  </si>
  <si>
    <t>URBAN
Adulte (11-12 Yuri)</t>
  </si>
  <si>
    <t>STREET
Enfant (12-13 Yuri)</t>
  </si>
  <si>
    <t>STREET
Ado (16-17 Yuri)</t>
  </si>
  <si>
    <t>BOLLYWOOD
Ado (16)</t>
  </si>
  <si>
    <t>BOLLYWOOD
Enfant  (18)</t>
  </si>
  <si>
    <t>P2 13 1</t>
  </si>
  <si>
    <t>BOLLYWOOD
Tous Final (71 Julien)</t>
  </si>
  <si>
    <t>STREET / URBAN
(4 Yuri)</t>
  </si>
  <si>
    <t>Eclipse</t>
  </si>
  <si>
    <t>Célébration</t>
  </si>
  <si>
    <t>P2 15 1</t>
  </si>
  <si>
    <t>La route du sommeil</t>
  </si>
  <si>
    <t>Au-delà de l'âme</t>
  </si>
  <si>
    <t>Vertige nocturne</t>
  </si>
  <si>
    <t>Quand le jour se lève</t>
  </si>
  <si>
    <t>A Million dreams</t>
  </si>
  <si>
    <t>Pink - The greatest showman</t>
  </si>
  <si>
    <t>Le rêve des origines</t>
  </si>
  <si>
    <t>Le rêve du présent</t>
  </si>
  <si>
    <t>Le rêve de l'énergie</t>
  </si>
  <si>
    <t>Le rêve du métisage (Inde/Afrique)</t>
  </si>
  <si>
    <t>VANDERMEERSCH Aurelie</t>
  </si>
  <si>
    <r>
      <rPr>
        <b/>
        <sz val="10"/>
        <color theme="1"/>
        <rFont val="Arial"/>
        <family val="2"/>
        <scheme val="minor"/>
      </rPr>
      <t>4</t>
    </r>
    <r>
      <rPr>
        <sz val="10"/>
        <color theme="1"/>
        <rFont val="Arial"/>
        <family val="2"/>
        <scheme val="minor"/>
      </rPr>
      <t>- StreetAdulte+ Urban+ JazzAvancé+ Cabaret</t>
    </r>
  </si>
  <si>
    <t>MICHEL  Isabelle</t>
  </si>
  <si>
    <t>MARTINEZ Mélanie</t>
  </si>
  <si>
    <t>DOMINGUES Mandie</t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</si>
  <si>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BollyInter+ Cabaret</t>
    </r>
  </si>
  <si>
    <t xml:space="preserve">COYRAL Delphine </t>
  </si>
  <si>
    <t>CAZE Maëva</t>
  </si>
  <si>
    <t>BASSET Audrey</t>
  </si>
  <si>
    <t>BALOUT Corinne</t>
  </si>
  <si>
    <t xml:space="preserve">JUSTIN Laurence </t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</si>
  <si>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JazzInter+ Cabaret</t>
    </r>
  </si>
  <si>
    <t>RIDEL-DROETTO Norah</t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</si>
  <si>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BollyDebutant+ Cabaret</t>
    </r>
  </si>
  <si>
    <t>DENAGE Valérie</t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</si>
  <si>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Urban+ BollyAdulteVendredi</t>
    </r>
  </si>
  <si>
    <t>VIGNOLLES Eva</t>
  </si>
  <si>
    <t>BRUHL Lucie</t>
  </si>
  <si>
    <t>BARRIOL Alexandra</t>
  </si>
  <si>
    <t>LANGELEZ Léane</t>
  </si>
  <si>
    <r>
      <rPr>
        <b/>
        <sz val="10"/>
        <color theme="1"/>
        <rFont val="Arial"/>
        <family val="2"/>
        <scheme val="minor"/>
      </rPr>
      <t>2-</t>
    </r>
    <r>
      <rPr>
        <sz val="10"/>
        <color theme="1"/>
        <rFont val="Arial"/>
        <family val="2"/>
        <scheme val="minor"/>
      </rPr>
      <t xml:space="preserve"> JazzInter+ BollyInter</t>
    </r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</si>
  <si>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Urban+ BollyInter</t>
    </r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</si>
  <si>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JazzAvancé+ Cabaret</t>
    </r>
  </si>
  <si>
    <t>POIREE Manon</t>
  </si>
  <si>
    <t>VIVIER Gaëlle</t>
  </si>
  <si>
    <t>POGET Cyrine</t>
  </si>
  <si>
    <t xml:space="preserve">RAMBAUD-DULAU Delphine </t>
  </si>
  <si>
    <t>MARTIN DECOURT Eléa</t>
  </si>
  <si>
    <t>BOURDARIE Anne</t>
  </si>
  <si>
    <t>EL OMARI Nawel</t>
  </si>
  <si>
    <t>DEBYSER-CABIAS Telma</t>
  </si>
  <si>
    <r>
      <rPr>
        <b/>
        <sz val="10"/>
        <color theme="1"/>
        <rFont val="Arial"/>
        <family val="2"/>
        <scheme val="minor"/>
      </rPr>
      <t>3-</t>
    </r>
    <r>
      <rPr>
        <sz val="10"/>
        <color theme="1"/>
        <rFont val="Arial"/>
        <family val="2"/>
        <scheme val="minor"/>
      </rPr>
      <t xml:space="preserve"> JazzInter+ JazzAvancé+ Cabaret</t>
    </r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</si>
  <si>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StreetAdulte+ Urban</t>
    </r>
  </si>
  <si>
    <r>
      <rPr>
        <b/>
        <sz val="10"/>
        <color theme="1"/>
        <rFont val="Arial"/>
        <family val="2"/>
        <scheme val="minor"/>
      </rPr>
      <t>2-</t>
    </r>
    <r>
      <rPr>
        <sz val="10"/>
        <color theme="1"/>
        <rFont val="Arial"/>
        <family val="2"/>
        <scheme val="minor"/>
      </rPr>
      <t xml:space="preserve"> JazzAdo+ BollyInter</t>
    </r>
  </si>
  <si>
    <t>MUCIGNATO Marine</t>
  </si>
  <si>
    <t>BRUNA Lydia</t>
  </si>
  <si>
    <t>VILDIEU Roxane</t>
  </si>
  <si>
    <r>
      <rPr>
        <b/>
        <sz val="10"/>
        <color theme="1"/>
        <rFont val="Arial"/>
        <family val="2"/>
        <scheme val="minor"/>
      </rPr>
      <t>3-</t>
    </r>
    <r>
      <rPr>
        <sz val="10"/>
        <color theme="1"/>
        <rFont val="Arial"/>
        <family val="2"/>
        <scheme val="minor"/>
      </rPr>
      <t xml:space="preserve"> JazzInter+ BollyInter+ Cabaret</t>
    </r>
  </si>
  <si>
    <t>PUYGAUTHIER Marion</t>
  </si>
  <si>
    <r>
      <rPr>
        <b/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family val="2"/>
        <scheme val="minor"/>
      </rPr>
      <t>- StreetAdulte+ Urban+ BollyDebutant</t>
    </r>
  </si>
  <si>
    <r>
      <rPr>
        <b/>
        <sz val="10"/>
        <color theme="1"/>
        <rFont val="Arial"/>
        <family val="2"/>
        <scheme val="minor"/>
      </rPr>
      <t>2-</t>
    </r>
    <r>
      <rPr>
        <sz val="10"/>
        <color theme="1"/>
        <rFont val="Arial"/>
        <family val="2"/>
        <scheme val="minor"/>
      </rPr>
      <t xml:space="preserve"> JazzAdo+ BollyAdo</t>
    </r>
  </si>
  <si>
    <t>URSENBACH Sophie</t>
  </si>
  <si>
    <t>BOSETTI Lorena</t>
  </si>
  <si>
    <r>
      <rPr>
        <b/>
        <sz val="10"/>
        <color theme="1"/>
        <rFont val="Arial"/>
        <family val="2"/>
        <scheme val="minor"/>
      </rPr>
      <t>4</t>
    </r>
    <r>
      <rPr>
        <sz val="10"/>
        <color theme="1"/>
        <rFont val="Arial"/>
        <family val="2"/>
        <scheme val="minor"/>
      </rPr>
      <t>- Urban+ JazzInter+ JazzAvancé+ Cabaret</t>
    </r>
  </si>
  <si>
    <t>LAMOURELLE Myla</t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</si>
  <si>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JazzEnfant+ BollyAdo</t>
    </r>
  </si>
  <si>
    <t>DELAVAULT Eloha</t>
  </si>
  <si>
    <t>MUCIGNATO Nathalie</t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</si>
  <si>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StreetAdo+ JazzEnfant</t>
    </r>
  </si>
  <si>
    <t>MARTINEZ Soleine</t>
  </si>
  <si>
    <r>
      <rPr>
        <b/>
        <sz val="10"/>
        <color theme="1"/>
        <rFont val="Arial"/>
        <family val="2"/>
        <scheme val="minor"/>
      </rPr>
      <t>4</t>
    </r>
    <r>
      <rPr>
        <sz val="10"/>
        <color theme="1"/>
        <rFont val="Arial"/>
        <family val="2"/>
        <scheme val="minor"/>
      </rPr>
      <t>- JazzAdo+ JazzInter+ BollyInter+ Cabaret</t>
    </r>
  </si>
  <si>
    <r>
      <rPr>
        <b/>
        <sz val="10"/>
        <color theme="1"/>
        <rFont val="Arial"/>
        <family val="2"/>
        <scheme val="minor"/>
      </rPr>
      <t>4</t>
    </r>
    <r>
      <rPr>
        <sz val="10"/>
        <color theme="1"/>
        <rFont val="Arial"/>
        <family val="2"/>
        <scheme val="minor"/>
      </rPr>
      <t>- Urban+ JazzInter+ BollyInter+ Cabaret</t>
    </r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</si>
  <si>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StreetAdo+ BollyAdo</t>
    </r>
  </si>
  <si>
    <t>LADAURADE Manon</t>
  </si>
  <si>
    <t>NICOL Jade</t>
  </si>
  <si>
    <t>BAUTE Lilou</t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</si>
  <si>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Urban+ BollyDebutant</t>
    </r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</si>
  <si>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StreetEnfant+ BollyEnfant</t>
    </r>
  </si>
  <si>
    <r>
      <rPr>
        <b/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family val="2"/>
        <scheme val="minor"/>
      </rPr>
      <t>- StreetAdo+ BollyAdo+ JazzAdo</t>
    </r>
  </si>
  <si>
    <r>
      <rPr>
        <b/>
        <sz val="10"/>
        <color theme="1"/>
        <rFont val="Arial"/>
        <family val="2"/>
        <scheme val="minor"/>
      </rPr>
      <t>4</t>
    </r>
    <r>
      <rPr>
        <sz val="10"/>
        <color theme="1"/>
        <rFont val="Arial"/>
        <family val="2"/>
        <scheme val="minor"/>
      </rPr>
      <t>- StreetAdulte+ Urban+ JazzInter+ JazzAvancé</t>
    </r>
  </si>
  <si>
    <t>SAUBOIS Ines</t>
  </si>
  <si>
    <t>PRAT Louise</t>
  </si>
  <si>
    <t>DOMINGUES Véronique</t>
  </si>
  <si>
    <t>SAUBOIS Thaïs</t>
  </si>
  <si>
    <t>LAPOULE Mélina</t>
  </si>
  <si>
    <r>
      <rPr>
        <b/>
        <sz val="10"/>
        <color theme="1"/>
        <rFont val="Arial"/>
        <family val="2"/>
        <scheme val="minor"/>
      </rPr>
      <t>5</t>
    </r>
    <r>
      <rPr>
        <sz val="10"/>
        <color theme="1"/>
        <rFont val="Arial"/>
        <family val="2"/>
        <scheme val="minor"/>
      </rPr>
      <t>- StreetAdulte+ Urban+ JazzInter+ BollyInter+ Cab</t>
    </r>
  </si>
  <si>
    <r>
      <rPr>
        <b/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family val="2"/>
        <scheme val="minor"/>
      </rPr>
      <t>- PrépaJazz+ BollyEnfant</t>
    </r>
  </si>
  <si>
    <r>
      <rPr>
        <b/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family val="2"/>
        <scheme val="minor"/>
      </rPr>
      <t>- StreetAdo+ BollyAdo+ JazzEnfant</t>
    </r>
  </si>
  <si>
    <r>
      <rPr>
        <b/>
        <sz val="10"/>
        <color theme="1"/>
        <rFont val="Arial"/>
        <family val="2"/>
        <scheme val="minor"/>
      </rPr>
      <t>4 élèves</t>
    </r>
    <r>
      <rPr>
        <sz val="10"/>
        <color theme="1"/>
        <rFont val="Arial"/>
        <family val="2"/>
        <scheme val="minor"/>
      </rPr>
      <t xml:space="preserve"> font X autre(s) discipline(s) Hors Prof</t>
    </r>
  </si>
  <si>
    <r>
      <rPr>
        <b/>
        <sz val="10"/>
        <color theme="1"/>
        <rFont val="Arial"/>
        <family val="2"/>
        <scheme val="minor"/>
      </rPr>
      <t>3 élèves</t>
    </r>
    <r>
      <rPr>
        <sz val="10"/>
        <color theme="1"/>
        <rFont val="Arial"/>
        <family val="2"/>
        <scheme val="minor"/>
      </rPr>
      <t xml:space="preserve"> font X autre(s) discipline(s) Hors Prof</t>
    </r>
  </si>
  <si>
    <r>
      <rPr>
        <b/>
        <sz val="10"/>
        <color theme="1"/>
        <rFont val="Arial"/>
        <family val="2"/>
        <scheme val="minor"/>
      </rPr>
      <t>14 élèves</t>
    </r>
    <r>
      <rPr>
        <sz val="10"/>
        <color theme="1"/>
        <rFont val="Arial"/>
        <family val="2"/>
        <scheme val="minor"/>
      </rPr>
      <t xml:space="preserve"> font X autre(s) discipline(s)  Hors Prof</t>
    </r>
  </si>
  <si>
    <r>
      <rPr>
        <b/>
        <sz val="10"/>
        <color theme="1"/>
        <rFont val="Arial"/>
        <family val="2"/>
        <scheme val="minor"/>
      </rPr>
      <t>6 élèves</t>
    </r>
    <r>
      <rPr>
        <sz val="10"/>
        <color theme="1"/>
        <rFont val="Arial"/>
        <family val="2"/>
        <scheme val="minor"/>
      </rPr>
      <t xml:space="preserve"> font X autre(s) discipline(s) Hors Prof</t>
    </r>
  </si>
  <si>
    <r>
      <rPr>
        <b/>
        <sz val="10"/>
        <color theme="1"/>
        <rFont val="Arial"/>
        <family val="2"/>
        <scheme val="minor"/>
      </rPr>
      <t>15 élèves</t>
    </r>
    <r>
      <rPr>
        <sz val="10"/>
        <color theme="1"/>
        <rFont val="Arial"/>
        <family val="2"/>
        <scheme val="minor"/>
      </rPr>
      <t xml:space="preserve"> font X autre(s) discipline(s) Hors Prof</t>
    </r>
  </si>
  <si>
    <r>
      <rPr>
        <b/>
        <sz val="10"/>
        <color theme="1"/>
        <rFont val="Arial"/>
        <family val="2"/>
        <scheme val="minor"/>
      </rPr>
      <t>7 élèves</t>
    </r>
    <r>
      <rPr>
        <sz val="10"/>
        <color theme="1"/>
        <rFont val="Arial"/>
        <family val="2"/>
        <scheme val="minor"/>
      </rPr>
      <t xml:space="preserve"> font X autre(s) discipline(s) Hors Prof</t>
    </r>
  </si>
  <si>
    <r>
      <rPr>
        <b/>
        <sz val="10"/>
        <color theme="1"/>
        <rFont val="Arial"/>
        <family val="2"/>
        <scheme val="minor"/>
      </rPr>
      <t xml:space="preserve">2 élèves </t>
    </r>
    <r>
      <rPr>
        <sz val="10"/>
        <color theme="1"/>
        <rFont val="Arial"/>
        <family val="2"/>
        <scheme val="minor"/>
      </rPr>
      <t>font X autre(s) discipline(s) Hors Prof</t>
    </r>
  </si>
  <si>
    <r>
      <rPr>
        <b/>
        <sz val="10"/>
        <color theme="1"/>
        <rFont val="Arial"/>
        <family val="2"/>
        <scheme val="minor"/>
      </rPr>
      <t>11 élèves</t>
    </r>
    <r>
      <rPr>
        <sz val="10"/>
        <color theme="1"/>
        <rFont val="Arial"/>
        <family val="2"/>
        <scheme val="minor"/>
      </rPr>
      <t xml:space="preserve"> font X autre(s) discipline(s) Hors Prof</t>
    </r>
  </si>
  <si>
    <r>
      <rPr>
        <b/>
        <sz val="10"/>
        <color theme="1"/>
        <rFont val="Arial"/>
        <family val="2"/>
        <scheme val="minor"/>
      </rPr>
      <t>5 élèves</t>
    </r>
    <r>
      <rPr>
        <sz val="10"/>
        <color theme="1"/>
        <rFont val="Arial"/>
        <family val="2"/>
        <scheme val="minor"/>
      </rPr>
      <t xml:space="preserve"> font X autre(s) discipline(s) Hors Prof</t>
    </r>
  </si>
  <si>
    <r>
      <rPr>
        <b/>
        <sz val="10"/>
        <color theme="1"/>
        <rFont val="Arial"/>
        <family val="2"/>
        <scheme val="minor"/>
      </rPr>
      <t>1 élève</t>
    </r>
    <r>
      <rPr>
        <sz val="10"/>
        <color theme="1"/>
        <rFont val="Arial"/>
        <family val="2"/>
        <scheme val="minor"/>
      </rPr>
      <t xml:space="preserve"> fait X autre(s) discipline(s) Hors Prof</t>
    </r>
  </si>
  <si>
    <t>Julien "Praful"</t>
  </si>
  <si>
    <t>SANCHEZ Gisèle</t>
  </si>
  <si>
    <t>TOURIAS Orianne</t>
  </si>
  <si>
    <t>SEGUIN Elina</t>
  </si>
  <si>
    <t>TOURDIAS / LESCA Julie</t>
  </si>
  <si>
    <t>"Yuri"</t>
  </si>
  <si>
    <t>SAVEAN Anna</t>
  </si>
  <si>
    <t>PEYRESAUBES Stéphanie</t>
  </si>
  <si>
    <t>PARAUD MAROT Sandrine</t>
  </si>
  <si>
    <t>SCOTTI Vera</t>
  </si>
  <si>
    <t>MARTINEZ Romane</t>
  </si>
  <si>
    <t>PERRIN Tiha</t>
  </si>
  <si>
    <t>COYRAL Ava</t>
  </si>
  <si>
    <t>LAMOURELLE Nolan</t>
  </si>
  <si>
    <t>SAVEAN Amanda</t>
  </si>
  <si>
    <t>MACHENAUD Anna</t>
  </si>
  <si>
    <t>SAINT-JOURS  Jeanne</t>
  </si>
  <si>
    <t>LEONE Louise</t>
  </si>
  <si>
    <t>PEYRESAUBES Emma</t>
  </si>
  <si>
    <t>MUCIGNATO Estelle</t>
  </si>
  <si>
    <t>SEGUIN Maëlie</t>
  </si>
  <si>
    <t>PAREAU Angelina</t>
  </si>
  <si>
    <t>SOULERE Livia</t>
  </si>
  <si>
    <t>POIREE Céline</t>
  </si>
  <si>
    <t>GRELLETY Théa</t>
  </si>
  <si>
    <t>RAYNAUD Lucie</t>
  </si>
  <si>
    <t>MATHE Noémie</t>
  </si>
  <si>
    <t>SANCHEZ GORTARI Ayden</t>
  </si>
  <si>
    <t>LEBAILLIF Emilie</t>
  </si>
  <si>
    <t>LAM Sabrina</t>
  </si>
  <si>
    <t>MAUREL AUGEREAU Emmy</t>
  </si>
  <si>
    <t>VERHAEGHE Julie</t>
  </si>
  <si>
    <t>LIBERT Elaia</t>
  </si>
  <si>
    <t>RAMBAUD Denis</t>
  </si>
  <si>
    <t>VIDEAU Zoé</t>
  </si>
  <si>
    <t>JOLY Clémentine</t>
  </si>
  <si>
    <t>LADAURADE Léa</t>
  </si>
  <si>
    <t>LAGUEYRIE Angélique</t>
  </si>
  <si>
    <t>MEILLACQ Eloïse</t>
  </si>
  <si>
    <t>LAPOUTGE Clara</t>
  </si>
  <si>
    <t>UTRERA MINEUR Eva</t>
  </si>
  <si>
    <t>JOLLARD Élisée</t>
  </si>
  <si>
    <t>GUILLARD Justine</t>
  </si>
  <si>
    <t>LAURENT Lucie</t>
  </si>
  <si>
    <t>MARIGNAN Mialy</t>
  </si>
  <si>
    <t>D'ARCANGUES Elaïa</t>
  </si>
  <si>
    <t>TAUBY Timéo</t>
  </si>
  <si>
    <t>SIBRAC Augustine</t>
  </si>
  <si>
    <t>JOLLARD Marianne</t>
  </si>
  <si>
    <t>FILLASTRE-PLACE Emma</t>
  </si>
  <si>
    <t>MICHEL  Nahia</t>
  </si>
  <si>
    <t>MARECHAL Arya</t>
  </si>
  <si>
    <t>HIROUX Léonie</t>
  </si>
  <si>
    <t>RAMBAUD Maxime</t>
  </si>
  <si>
    <t>SAVIGNY Lucie</t>
  </si>
  <si>
    <t>VOINESON Lila-rose</t>
  </si>
  <si>
    <t>HECK Typhen</t>
  </si>
  <si>
    <t>EYHERABIDE Elise</t>
  </si>
  <si>
    <t>LALANDE Camille</t>
  </si>
  <si>
    <t>MICHEL  Sébastien</t>
  </si>
  <si>
    <t>GUICHARD Soline</t>
  </si>
  <si>
    <t>LUNARDELLI Tia</t>
  </si>
  <si>
    <t>POZA Charline</t>
  </si>
  <si>
    <t>PONASSIE-JAUREGUI Agathe</t>
  </si>
  <si>
    <t>COYRAL Sophia</t>
  </si>
  <si>
    <t>GONCALVES DE SOUSA Maria</t>
  </si>
  <si>
    <t>DELPECH Margot</t>
  </si>
  <si>
    <t>ITALIANO Eléana</t>
  </si>
  <si>
    <t>LESPES Alicia</t>
  </si>
  <si>
    <t>KUENEMANN Manon</t>
  </si>
  <si>
    <t>AZZI Jade</t>
  </si>
  <si>
    <t>LEON Emma</t>
  </si>
  <si>
    <t>MICHELOT Ninon</t>
  </si>
  <si>
    <t>MICHELOT Ana</t>
  </si>
  <si>
    <t>LONNE Rose</t>
  </si>
  <si>
    <t>EYHERABIDE Céline</t>
  </si>
  <si>
    <t>CORNIC Léana</t>
  </si>
  <si>
    <t>GUICHARD Loanne</t>
  </si>
  <si>
    <t>HEYMS Alicia</t>
  </si>
  <si>
    <t>LACROUTS Pauline</t>
  </si>
  <si>
    <t>LANSADE (COYRAL) Anna</t>
  </si>
  <si>
    <t>BRICHON Suzanne</t>
  </si>
  <si>
    <t>LAPOULE Alice</t>
  </si>
  <si>
    <t>MARECHAL Lyzie</t>
  </si>
  <si>
    <t>BENARD-GUYONY Jeanne</t>
  </si>
  <si>
    <t>DUBOIS Julie Claire</t>
  </si>
  <si>
    <t>DESOINDRE Lyse</t>
  </si>
  <si>
    <t>GARCIA Ambre</t>
  </si>
  <si>
    <t>DUC LAGRANGE Luna</t>
  </si>
  <si>
    <t>GOULINAT Loucena</t>
  </si>
  <si>
    <t>CORNAZ-WITKOWSKI Roxane</t>
  </si>
  <si>
    <t>BOURDEROU Milla</t>
  </si>
  <si>
    <t>FOURCADE Charlotte</t>
  </si>
  <si>
    <t>LABORDE Calie</t>
  </si>
  <si>
    <t>GAILLARD Rose</t>
  </si>
  <si>
    <t>BOSSUET Nina</t>
  </si>
  <si>
    <t>EL OMARI Lina</t>
  </si>
  <si>
    <t>BOUYSSOU Elodie</t>
  </si>
  <si>
    <t>CHEVREAU Sélène</t>
  </si>
  <si>
    <t>BOUQUET Louise</t>
  </si>
  <si>
    <t>JOURNOLLEAU Line</t>
  </si>
  <si>
    <t>DESTOUESSE Jonas</t>
  </si>
  <si>
    <t>FOURCADE Jean</t>
  </si>
  <si>
    <t>DUFROU-MICHON Ivy</t>
  </si>
  <si>
    <t>BLANC Alana</t>
  </si>
  <si>
    <t>BOSTVIRONNOIS Amandine</t>
  </si>
  <si>
    <t>DARRENOUGUE Manon</t>
  </si>
  <si>
    <t>BENOIT Catherine</t>
  </si>
  <si>
    <t>CASTROUNIS Noémie</t>
  </si>
  <si>
    <t>DUBOIS Zélie</t>
  </si>
  <si>
    <t>CLUZAUD Julia</t>
  </si>
  <si>
    <t>BERRADA Selwa</t>
  </si>
  <si>
    <t>CHAMBERS Elsa</t>
  </si>
  <si>
    <t>BARNEL Céline</t>
  </si>
  <si>
    <t>BERROU Clémentine</t>
  </si>
  <si>
    <t>BERROU Elisa</t>
  </si>
  <si>
    <t>DUBOIS Marceau</t>
  </si>
  <si>
    <t>BEZIAT Théo</t>
  </si>
  <si>
    <t>PETITJEAN BALOUT Héloïse</t>
  </si>
  <si>
    <t>CARLE Louise</t>
  </si>
  <si>
    <t>BIGAUD Maud</t>
  </si>
  <si>
    <t>ANDURAND Céline</t>
  </si>
  <si>
    <t>ALEXIS Romane</t>
  </si>
  <si>
    <t>BARBE Océane</t>
  </si>
  <si>
    <t>SALMON Julia</t>
  </si>
  <si>
    <t>DELMAS ARENAS Célia</t>
  </si>
  <si>
    <t>MENIER  Alix</t>
  </si>
  <si>
    <t>AICARD Cassandra</t>
  </si>
  <si>
    <t>BEY Camélia</t>
  </si>
  <si>
    <t>Cabaret (Stage)</t>
  </si>
  <si>
    <t>Bolly VENDR 20h00
 DEBUTANT</t>
  </si>
  <si>
    <t>Bolly VENDR  19h00
ENFANT</t>
  </si>
  <si>
    <t>Bolly JEUDI 20h00
INTERMEDIAIRE</t>
  </si>
  <si>
    <t>Bolly JEUDI  19h00
ADO</t>
  </si>
  <si>
    <t>Jazz MERCR 20H15
AVANCE</t>
  </si>
  <si>
    <t>Jazz MERCR 18H30
INTERMEDIAIRE</t>
  </si>
  <si>
    <t>Jazz MERCR 17H00
ADO</t>
  </si>
  <si>
    <t>PREPA JAZZ MERCR 14H45
ENFANT</t>
  </si>
  <si>
    <t>Urban MARDI 20H15
ADULTE</t>
  </si>
  <si>
    <t>Street MARDI 19H15
ADULTE</t>
  </si>
  <si>
    <t>Street MARDI 18H00
ADO</t>
  </si>
  <si>
    <t>Street MARDI 17H00
ENFANT</t>
  </si>
  <si>
    <t xml:space="preserve"> EVEIL LUNDI 16H30</t>
  </si>
  <si>
    <t>167 Danseurs hors Profs</t>
  </si>
  <si>
    <t>Gala du 24/05/2026</t>
  </si>
  <si>
    <t>pr info</t>
  </si>
  <si>
    <t>Préci-
pités</t>
  </si>
  <si>
    <t>Chang
Rapide</t>
  </si>
  <si>
    <t>Durée</t>
  </si>
  <si>
    <t>P1000</t>
  </si>
  <si>
    <t>DISCOURS OUVERTURE :</t>
  </si>
  <si>
    <t>P1011</t>
  </si>
  <si>
    <t>P1021</t>
  </si>
  <si>
    <t>P1031</t>
  </si>
  <si>
    <t>P1041</t>
  </si>
  <si>
    <t>P1051</t>
  </si>
  <si>
    <t>P1061</t>
  </si>
  <si>
    <t>P1071</t>
  </si>
  <si>
    <t>P1081</t>
  </si>
  <si>
    <t>P1091</t>
  </si>
  <si>
    <t>P1101</t>
  </si>
  <si>
    <t>P1111</t>
  </si>
  <si>
    <t>SOLO Orianne  (1)</t>
  </si>
  <si>
    <t>P2000</t>
  </si>
  <si>
    <t>ENTRACTE :</t>
  </si>
  <si>
    <t>P2011</t>
  </si>
  <si>
    <t>P2021</t>
  </si>
  <si>
    <t>P2031</t>
  </si>
  <si>
    <t>P2041</t>
  </si>
  <si>
    <t>P2051</t>
  </si>
  <si>
    <t>P2061</t>
  </si>
  <si>
    <t>P2071</t>
  </si>
  <si>
    <t>P2081</t>
  </si>
  <si>
    <t>P2091</t>
  </si>
  <si>
    <t>P2101</t>
  </si>
  <si>
    <t>P2111</t>
  </si>
  <si>
    <t>P2121</t>
  </si>
  <si>
    <t>P2141</t>
  </si>
  <si>
    <t>GALA ASPM Danse du Dimanche 24/05/2026 à la Coupole (Saint-Loubès)</t>
  </si>
  <si>
    <t>MODERN'JAZZ Avancé  (13)</t>
  </si>
  <si>
    <t>MODERN'JAZZ Ado  (12)</t>
  </si>
  <si>
    <t>MODERN'JAZZ Prépa Jazz  (16)</t>
  </si>
  <si>
    <t>URBAN Adulte (11-12 Yuri)</t>
  </si>
  <si>
    <t>P2131</t>
  </si>
  <si>
    <t>STREET Enfant (12-13 Yuri)</t>
  </si>
  <si>
    <t>STREET Ado (16-17 Yuri)</t>
  </si>
  <si>
    <t>STREET / URBAN (4 Yuri)</t>
  </si>
  <si>
    <t>BOLLYWOOD Tous Final (71 Julien)</t>
  </si>
  <si>
    <t>à compléter</t>
  </si>
  <si>
    <t>Elèves par ballets dans l'ordre du déroulé</t>
  </si>
  <si>
    <t>Code couleur</t>
  </si>
  <si>
    <t>"Précipité"</t>
  </si>
  <si>
    <t>Changement rapide</t>
  </si>
  <si>
    <t>Profs</t>
  </si>
  <si>
    <r>
      <t xml:space="preserve">Nom </t>
    </r>
    <r>
      <rPr>
        <b/>
        <sz val="10"/>
        <rFont val="Arial"/>
        <family val="2"/>
      </rPr>
      <t>en gras</t>
    </r>
  </si>
  <si>
    <t>Elève inscrit à plusieurs cours</t>
  </si>
  <si>
    <t>2 ballets à la suite</t>
  </si>
  <si>
    <t>1 seul ballet d'écart</t>
  </si>
  <si>
    <t>Garçon</t>
  </si>
  <si>
    <t xml:space="preserve">
</t>
  </si>
  <si>
    <t xml:space="preserve">Nb </t>
  </si>
  <si>
    <t>Jardin</t>
  </si>
  <si>
    <t>Bundle of Joy</t>
  </si>
  <si>
    <t>Michael Giacchino</t>
  </si>
  <si>
    <t>The Nutcracker Trap remix</t>
  </si>
  <si>
    <t>Josh Vietti</t>
  </si>
  <si>
    <t>Yung Gravy, James Brown</t>
  </si>
  <si>
    <t>I had a dream</t>
  </si>
  <si>
    <t>Nicky Doll</t>
  </si>
  <si>
    <t>Le Freak</t>
  </si>
  <si>
    <t>CHIC, Dimitri from Paris</t>
  </si>
  <si>
    <t>The Time Of My Life</t>
  </si>
  <si>
    <t>Bill Medley, Jennifer Warnes</t>
  </si>
  <si>
    <t>Retiens les rêves (instrumental)</t>
  </si>
  <si>
    <t xml:space="preserve">Alba </t>
  </si>
  <si>
    <t>Bon Entendeur feat Sofiane Pamart</t>
  </si>
  <si>
    <t>banc à fond cour</t>
  </si>
  <si>
    <t>Body blanc et tutu violet</t>
  </si>
  <si>
    <t>Tutu rose pailleté / Chemise blanche et legging gris</t>
  </si>
  <si>
    <t>Top court et pantalon violet et argenté</t>
  </si>
  <si>
    <t>pantalon noir ou blanc et haut noir&amp;blanc</t>
  </si>
  <si>
    <t>Supa Good!!! (from Dog Man)</t>
  </si>
  <si>
    <t>Ensemble top et jupe noir ou rose ou violet ou rouge avec cap et masque correspondant à sa couleur</t>
  </si>
  <si>
    <r>
      <t xml:space="preserve">INITIATION </t>
    </r>
    <r>
      <rPr>
        <b/>
        <i/>
        <sz val="10"/>
        <color rgb="FFFF0000"/>
        <rFont val="Arial"/>
        <family val="2"/>
      </rPr>
      <t>+ EVEIL</t>
    </r>
    <r>
      <rPr>
        <b/>
        <i/>
        <sz val="10"/>
        <color theme="1"/>
        <rFont val="Arial"/>
        <family val="2"/>
      </rPr>
      <t xml:space="preserve">  (10+</t>
    </r>
    <r>
      <rPr>
        <b/>
        <i/>
        <sz val="10"/>
        <color rgb="FFFF0000"/>
        <rFont val="Arial"/>
        <family val="2"/>
      </rPr>
      <t>9</t>
    </r>
    <r>
      <rPr>
        <b/>
        <i/>
        <sz val="10"/>
        <color theme="1"/>
        <rFont val="Arial"/>
        <family val="2"/>
      </rPr>
      <t>)</t>
    </r>
  </si>
  <si>
    <t>CABARET 
(20 Orianne)</t>
  </si>
  <si>
    <t xml:space="preserve">Tous en bleu marine </t>
  </si>
  <si>
    <t>MODERN'JAZZ
Avancé  (14 Orianne)</t>
  </si>
  <si>
    <t>Zoo</t>
  </si>
  <si>
    <t>Disney, Shakira</t>
  </si>
  <si>
    <t>Imagine (live at the opening Ceremony of the Olympic Games Paris 2024)</t>
  </si>
  <si>
    <t>Juliette Armanet, Sofiane Pamart</t>
  </si>
  <si>
    <t>Dreams To Reality</t>
  </si>
  <si>
    <t>Anna Graceman, F8</t>
  </si>
  <si>
    <t>Académique blanche et foulard blanc aux poignets</t>
  </si>
  <si>
    <t>Prayerful Woman</t>
  </si>
  <si>
    <t>L'Ray</t>
  </si>
  <si>
    <t>Robe nude, collant résille chair</t>
  </si>
  <si>
    <t>Woman - Heavy Guitar Mix</t>
  </si>
  <si>
    <t>Neneh Cherry</t>
  </si>
  <si>
    <t>Mauvais Rêve</t>
  </si>
  <si>
    <t>Hoshi</t>
  </si>
  <si>
    <t>Parapluies / Pantalon bleu et haut multicolore manches longues</t>
  </si>
  <si>
    <t>Ce monde</t>
  </si>
  <si>
    <t>Lou Deleuze</t>
  </si>
  <si>
    <t xml:space="preserve">Rêve en Corps </t>
  </si>
  <si>
    <t>Robe rose, collant résille et talons / Pantalon, haut noir et chaussures</t>
  </si>
  <si>
    <t>Tunique robe noire ou legging graff et haut rose troué</t>
  </si>
  <si>
    <t>Jardin et Cour</t>
  </si>
  <si>
    <t>Cour avec le banc</t>
  </si>
  <si>
    <t>Jardin avec le coussin</t>
  </si>
  <si>
    <t>Coffre devant Cour et foulards à l'intérieur à devant Cour</t>
  </si>
  <si>
    <t>Cour</t>
  </si>
  <si>
    <r>
      <rPr>
        <b/>
        <sz val="8"/>
        <color theme="1"/>
        <rFont val="Arial"/>
        <family val="2"/>
      </rPr>
      <t>Jardin x9</t>
    </r>
    <r>
      <rPr>
        <sz val="8"/>
        <color theme="1"/>
        <rFont val="Arial"/>
        <family val="2"/>
      </rPr>
      <t xml:space="preserve"> :Julie/Mandie/Vero/Delphine/Eloha/Laurence/Valérie/Anne/Catherine    </t>
    </r>
    <r>
      <rPr>
        <b/>
        <sz val="8"/>
        <color theme="1"/>
        <rFont val="Arial"/>
        <family val="2"/>
      </rPr>
      <t>Cour x9</t>
    </r>
    <r>
      <rPr>
        <sz val="8"/>
        <color theme="1"/>
        <rFont val="Arial"/>
        <family val="2"/>
      </rPr>
      <t xml:space="preserve"> : Lucie/Marine/Lydia/Audrey/Nat/Sophie/Isa/Estelle/Sandrine</t>
    </r>
  </si>
  <si>
    <r>
      <rPr>
        <b/>
        <sz val="8"/>
        <color theme="1"/>
        <rFont val="Arial"/>
        <family val="2"/>
      </rPr>
      <t>Jardin x7</t>
    </r>
    <r>
      <rPr>
        <sz val="8"/>
        <color theme="1"/>
        <rFont val="Arial"/>
        <family val="2"/>
      </rPr>
      <t xml:space="preserve"> : ElaïaL/Angélina/Jeanne/Thais/Ines/Soline/Ava   </t>
    </r>
    <r>
      <rPr>
        <b/>
        <sz val="8"/>
        <color theme="1"/>
        <rFont val="Arial"/>
        <family val="2"/>
      </rPr>
      <t>Cour x9</t>
    </r>
    <r>
      <rPr>
        <sz val="8"/>
        <color theme="1"/>
        <rFont val="Arial"/>
        <family val="2"/>
      </rPr>
      <t>: Julia/Clara/Elaïa/Noémie/Milla/Suzanne/Léonie/Louise/Jade</t>
    </r>
  </si>
  <si>
    <r>
      <rPr>
        <b/>
        <sz val="8"/>
        <color theme="1"/>
        <rFont val="Arial"/>
        <family val="2"/>
      </rPr>
      <t xml:space="preserve">Jardin x9 </t>
    </r>
    <r>
      <rPr>
        <sz val="8"/>
        <color theme="1"/>
        <rFont val="Arial"/>
        <family val="2"/>
      </rPr>
      <t xml:space="preserve">: Jade/Léonie/Suzanne/Louise/Ava/Thaïs/Noémie/Clara/Julia    </t>
    </r>
    <r>
      <rPr>
        <b/>
        <sz val="8"/>
        <color theme="1"/>
        <rFont val="Arial"/>
        <family val="2"/>
      </rPr>
      <t xml:space="preserve">Cour x7 </t>
    </r>
    <r>
      <rPr>
        <sz val="8"/>
        <color theme="1"/>
        <rFont val="Arial"/>
        <family val="2"/>
      </rPr>
      <t>: Angélina/Soline/Jeanne/Milla/Ines/Elaïa/Elaïa</t>
    </r>
  </si>
  <si>
    <r>
      <rPr>
        <b/>
        <sz val="8"/>
        <color theme="1"/>
        <rFont val="Arial"/>
        <family val="2"/>
      </rPr>
      <t>Jardin x5</t>
    </r>
    <r>
      <rPr>
        <sz val="8"/>
        <color theme="1"/>
        <rFont val="Arial"/>
        <family val="2"/>
      </rPr>
      <t xml:space="preserve">: Telma/Eloha/Alicia/Pauline/Romane </t>
    </r>
    <r>
      <rPr>
        <b/>
        <sz val="8"/>
        <color theme="1"/>
        <rFont val="Arial"/>
        <family val="2"/>
      </rPr>
      <t xml:space="preserve">Cour x7 </t>
    </r>
    <r>
      <rPr>
        <sz val="8"/>
        <color theme="1"/>
        <rFont val="Arial"/>
        <family val="2"/>
      </rPr>
      <t xml:space="preserve">:Loucena/Cyrine/Eléa/Manon/Jade/Elisa/Marion </t>
    </r>
  </si>
  <si>
    <r>
      <rPr>
        <b/>
        <sz val="8"/>
        <color theme="1"/>
        <rFont val="Arial"/>
        <family val="2"/>
      </rPr>
      <t>Jardin x8</t>
    </r>
    <r>
      <rPr>
        <sz val="8"/>
        <color theme="1"/>
        <rFont val="Arial"/>
        <family val="2"/>
      </rPr>
      <t xml:space="preserve"> : Anna/Manon/Maélie/Melina/Eloise/Lorena/Lucie/Roxane </t>
    </r>
    <r>
      <rPr>
        <b/>
        <sz val="8"/>
        <color theme="1"/>
        <rFont val="Arial"/>
        <family val="2"/>
      </rPr>
      <t xml:space="preserve">Cour x8 </t>
    </r>
    <r>
      <rPr>
        <sz val="8"/>
        <color theme="1"/>
        <rFont val="Arial"/>
        <family val="2"/>
      </rPr>
      <t xml:space="preserve"> :Myla/Noémie/Tiha/Arya/Océane/Louise/Mialy/Sélène</t>
    </r>
  </si>
  <si>
    <r>
      <rPr>
        <b/>
        <sz val="8"/>
        <color theme="1"/>
        <rFont val="Arial"/>
        <family val="2"/>
      </rPr>
      <t>Jardin x9 :</t>
    </r>
    <r>
      <rPr>
        <sz val="8"/>
        <color theme="1"/>
        <rFont val="Arial"/>
        <family val="2"/>
      </rPr>
      <t xml:space="preserve"> Lilou/Audrey/Sophie/Delphine/Cat/Eloha/Mandie/Lucie/Isa </t>
    </r>
    <r>
      <rPr>
        <b/>
        <sz val="8"/>
        <color theme="1"/>
        <rFont val="Arial"/>
        <family val="2"/>
      </rPr>
      <t xml:space="preserve"> Cour x9</t>
    </r>
    <r>
      <rPr>
        <sz val="8"/>
        <color theme="1"/>
        <rFont val="Arial"/>
        <family val="2"/>
      </rPr>
      <t xml:space="preserve"> : Estelle/Nat/Vero/Lydia/Valérie/Marine/Sandrine/Anne/Laurence     </t>
    </r>
    <r>
      <rPr>
        <b/>
        <sz val="8"/>
        <color theme="1"/>
        <rFont val="Arial"/>
        <family val="2"/>
      </rPr>
      <t/>
    </r>
  </si>
  <si>
    <r>
      <rPr>
        <b/>
        <sz val="8"/>
        <color theme="1"/>
        <rFont val="Arial"/>
        <family val="2"/>
      </rPr>
      <t>Jardin x4</t>
    </r>
    <r>
      <rPr>
        <sz val="8"/>
        <color theme="1"/>
        <rFont val="Arial"/>
        <family val="2"/>
      </rPr>
      <t xml:space="preserve"> : Ana/Agathe/Calie/Augustine </t>
    </r>
    <r>
      <rPr>
        <b/>
        <sz val="8"/>
        <color theme="1"/>
        <rFont val="Arial"/>
        <family val="2"/>
      </rPr>
      <t>Cou</t>
    </r>
    <r>
      <rPr>
        <sz val="8"/>
        <color theme="1"/>
        <rFont val="Arial"/>
        <family val="2"/>
      </rPr>
      <t xml:space="preserve">r </t>
    </r>
    <r>
      <rPr>
        <b/>
        <sz val="8"/>
        <color theme="1"/>
        <rFont val="Arial"/>
        <family val="2"/>
      </rPr>
      <t>x6</t>
    </r>
    <r>
      <rPr>
        <sz val="8"/>
        <color theme="1"/>
        <rFont val="Arial"/>
        <family val="2"/>
      </rPr>
      <t xml:space="preserve"> : Lyzie/Héloise/Lucie/Cassandra/Selwa/Jean</t>
    </r>
  </si>
  <si>
    <r>
      <rPr>
        <b/>
        <sz val="8"/>
        <color theme="1"/>
        <rFont val="Arial"/>
        <family val="2"/>
      </rPr>
      <t>Jardin x5</t>
    </r>
    <r>
      <rPr>
        <sz val="8"/>
        <color theme="1"/>
        <rFont val="Arial"/>
        <family val="2"/>
      </rPr>
      <t xml:space="preserve"> : Lila-Rose/Sophia/Rose L./Camélia/Ivy   </t>
    </r>
    <r>
      <rPr>
        <b/>
        <sz val="8"/>
        <color theme="1"/>
        <rFont val="Arial"/>
        <family val="2"/>
      </rPr>
      <t>Cour x4</t>
    </r>
    <r>
      <rPr>
        <sz val="8"/>
        <color theme="1"/>
        <rFont val="Arial"/>
        <family val="2"/>
      </rPr>
      <t xml:space="preserve"> : Louise/Jeanne/Elsa/RoseG.</t>
    </r>
  </si>
  <si>
    <r>
      <rPr>
        <b/>
        <sz val="8"/>
        <color theme="1"/>
        <rFont val="Arial"/>
        <family val="2"/>
      </rPr>
      <t xml:space="preserve">Jardin x7 </t>
    </r>
    <r>
      <rPr>
        <sz val="8"/>
        <color theme="1"/>
        <rFont val="Arial"/>
        <family val="2"/>
      </rPr>
      <t xml:space="preserve">: Seb/Céline/Alicia/Léane/Nahia/Anne/Eva </t>
    </r>
    <r>
      <rPr>
        <b/>
        <sz val="8"/>
        <color theme="1"/>
        <rFont val="Arial"/>
        <family val="2"/>
      </rPr>
      <t>Cour x7</t>
    </r>
    <r>
      <rPr>
        <sz val="8"/>
        <color theme="1"/>
        <rFont val="Arial"/>
        <family val="2"/>
      </rPr>
      <t>: Orianne/Aurélie/Sophie/Julie/Lilou/Elodie/Luna</t>
    </r>
  </si>
  <si>
    <t>Jardin x12</t>
  </si>
  <si>
    <t>Pantalon bariolé bleu/ Top bleu / Justau noir pour 6 et Seb marcel noir</t>
  </si>
  <si>
    <t>Sing Up! (Grand Corps Malade)</t>
  </si>
  <si>
    <t>Robe courte avec strass rouge ou orange</t>
  </si>
  <si>
    <t>Chut, on dort !</t>
  </si>
  <si>
    <t>Vivre ensemble</t>
  </si>
  <si>
    <t>L'espoir</t>
  </si>
  <si>
    <t>La paix</t>
  </si>
  <si>
    <t>La sororité</t>
  </si>
  <si>
    <t>Hymne à la féminité</t>
  </si>
  <si>
    <t>Le harcèlement…un mauvais rêve</t>
  </si>
  <si>
    <t>Un monde meilleur</t>
  </si>
  <si>
    <t>Etre heureux</t>
  </si>
  <si>
    <t>Devenir petits rats de l'Opéra</t>
  </si>
  <si>
    <t>Rêve secret</t>
  </si>
  <si>
    <t>Le fric, c'est chic !</t>
  </si>
  <si>
    <t>Rêve éveillé</t>
  </si>
  <si>
    <t>L'incontournable…</t>
  </si>
  <si>
    <t>Etre une super héroïne</t>
  </si>
  <si>
    <t>Rêve de Maternité</t>
  </si>
  <si>
    <r>
      <rPr>
        <b/>
        <sz val="9"/>
        <color theme="9" tint="-0.249977111117893"/>
        <rFont val="Arial"/>
        <family val="2"/>
      </rPr>
      <t>JE R</t>
    </r>
    <r>
      <rPr>
        <b/>
        <sz val="9"/>
        <color theme="9" tint="-0.249977111117893"/>
        <rFont val="Calibri"/>
        <family val="2"/>
      </rPr>
      <t>Ê</t>
    </r>
    <r>
      <rPr>
        <b/>
        <sz val="9"/>
        <color theme="9" tint="-0.249977111117893"/>
        <rFont val="Arial"/>
        <family val="2"/>
      </rPr>
      <t>VE</t>
    </r>
  </si>
  <si>
    <r>
      <rPr>
        <b/>
        <sz val="9"/>
        <color rgb="FFFF0000"/>
        <rFont val="Arial"/>
        <family val="2"/>
      </rPr>
      <t>NOUS R</t>
    </r>
    <r>
      <rPr>
        <b/>
        <sz val="9"/>
        <color rgb="FFFF0000"/>
        <rFont val="Calibri"/>
        <family val="2"/>
      </rPr>
      <t>Ê</t>
    </r>
    <r>
      <rPr>
        <b/>
        <sz val="9"/>
        <color rgb="FFFF0000"/>
        <rFont val="Arial"/>
        <family val="2"/>
      </rPr>
      <t>VONS</t>
    </r>
  </si>
  <si>
    <r>
      <rPr>
        <b/>
        <sz val="8"/>
        <color theme="1"/>
        <rFont val="Arial"/>
        <family val="2"/>
      </rPr>
      <t>Jardin x6 Init :</t>
    </r>
    <r>
      <rPr>
        <sz val="8"/>
        <color theme="1"/>
        <rFont val="Arial"/>
        <family val="2"/>
      </rPr>
      <t xml:space="preserve"> Jean/Ana/Lucie/Héloise/Calie/Augustine  </t>
    </r>
    <r>
      <rPr>
        <b/>
        <sz val="8"/>
        <color theme="1"/>
        <rFont val="Arial"/>
        <family val="2"/>
      </rPr>
      <t xml:space="preserve">  Cour x4 Init : </t>
    </r>
    <r>
      <rPr>
        <sz val="8"/>
        <color theme="1"/>
        <rFont val="Arial"/>
        <family val="2"/>
      </rPr>
      <t>Selwa/Cassandra/Agathe/Lyzie</t>
    </r>
    <r>
      <rPr>
        <b/>
        <sz val="8"/>
        <color theme="1"/>
        <rFont val="Arial"/>
        <family val="2"/>
      </rPr>
      <t xml:space="preserve">        Jardin x5éveil </t>
    </r>
    <r>
      <rPr>
        <sz val="8"/>
        <color theme="1"/>
        <rFont val="Arial"/>
        <family val="2"/>
      </rPr>
      <t xml:space="preserve">: RoseL/RoseG/Jeanne/Camélia/Louise </t>
    </r>
    <r>
      <rPr>
        <b/>
        <sz val="8"/>
        <color theme="1"/>
        <rFont val="Arial"/>
        <family val="2"/>
      </rPr>
      <t>Cour x4éveil</t>
    </r>
    <r>
      <rPr>
        <sz val="8"/>
        <color theme="1"/>
        <rFont val="Arial"/>
        <family val="2"/>
      </rPr>
      <t xml:space="preserve"> : Sophia/Lila-Rose/Elsa/Ivy</t>
    </r>
  </si>
  <si>
    <t>Académique short violet (init) et doré (éveil) / Chemise violette et cycliste violet</t>
  </si>
  <si>
    <r>
      <rPr>
        <b/>
        <sz val="8"/>
        <color theme="1"/>
        <rFont val="Arial"/>
        <family val="2"/>
      </rPr>
      <t>Jardin x9</t>
    </r>
    <r>
      <rPr>
        <sz val="8"/>
        <color theme="1"/>
        <rFont val="Arial"/>
        <family val="2"/>
      </rPr>
      <t xml:space="preserve"> : Lilou/Julie/Anne/Elodie/Aurelie/Luna/Léane/Alicia/Eva    </t>
    </r>
    <r>
      <rPr>
        <b/>
        <sz val="8"/>
        <color theme="1"/>
        <rFont val="Arial"/>
        <family val="2"/>
      </rPr>
      <t>Cour x4</t>
    </r>
    <r>
      <rPr>
        <sz val="8"/>
        <color theme="1"/>
        <rFont val="Arial"/>
        <family val="2"/>
      </rPr>
      <t xml:space="preserve"> : Sophie/Nahia/Céline/Seb</t>
    </r>
  </si>
  <si>
    <r>
      <rPr>
        <b/>
        <sz val="9"/>
        <color theme="1"/>
        <rFont val="Arial"/>
        <family val="2"/>
      </rPr>
      <t>Jardin x11</t>
    </r>
    <r>
      <rPr>
        <sz val="9"/>
        <color theme="1"/>
        <rFont val="Arial"/>
        <family val="2"/>
      </rPr>
      <t xml:space="preserve"> : Corinne/Isa/Nat/Anne/Lydia/Vero/Mandie/Eva/Audrey/Mélanie/Orianne                   </t>
    </r>
    <r>
      <rPr>
        <b/>
        <sz val="9"/>
        <color theme="1"/>
        <rFont val="Arial"/>
        <family val="2"/>
      </rPr>
      <t>Cour x9</t>
    </r>
    <r>
      <rPr>
        <sz val="9"/>
        <color theme="1"/>
        <rFont val="Arial"/>
        <family val="2"/>
      </rPr>
      <t xml:space="preserve"> : Marine/Delphine/Maria/Léane/Aurélie/Sophie/Maeva/Sandrine/Eloha</t>
    </r>
  </si>
  <si>
    <r>
      <t xml:space="preserve">Jardin x8(orange) : </t>
    </r>
    <r>
      <rPr>
        <sz val="9"/>
        <color theme="1"/>
        <rFont val="Arial"/>
        <family val="2"/>
      </rPr>
      <t>Myla</t>
    </r>
    <r>
      <rPr>
        <b/>
        <sz val="9"/>
        <color theme="1"/>
        <rFont val="Arial"/>
        <family val="2"/>
      </rPr>
      <t>/</t>
    </r>
    <r>
      <rPr>
        <sz val="9"/>
        <color theme="1"/>
        <rFont val="Arial"/>
        <family val="2"/>
      </rPr>
      <t>Anna/Manon/Maélie/Océane/Lucie/Selene/Eloise</t>
    </r>
    <r>
      <rPr>
        <b/>
        <sz val="9"/>
        <color theme="1"/>
        <rFont val="Arial"/>
        <family val="2"/>
      </rPr>
      <t xml:space="preserve">              Cour x8(rouge)  :</t>
    </r>
    <r>
      <rPr>
        <sz val="9"/>
        <color theme="1"/>
        <rFont val="Arial"/>
        <family val="2"/>
      </rPr>
      <t>Noémie/Tiha/Mialy/Roxane/Arya/Louise/Lorena/Mélina</t>
    </r>
  </si>
  <si>
    <t>:</t>
  </si>
  <si>
    <t>Heureux</t>
  </si>
  <si>
    <t>Heroe</t>
  </si>
  <si>
    <t>MODERN'JAZZ Adulte Intermédiaire (18)</t>
  </si>
  <si>
    <t>MODERN'JAZZ Adulte Intermédiaire (19)</t>
  </si>
  <si>
    <t>P1090</t>
  </si>
  <si>
    <t>Transition vidéo</t>
  </si>
  <si>
    <t>BOLLYWOOD Adulte Débutant Vendredi (16)</t>
  </si>
  <si>
    <t>MODERN'JAZZ Avancé  (14 Orianne)</t>
  </si>
  <si>
    <t>STREET Adulte  (6-7 Yuri)</t>
  </si>
  <si>
    <t>STREET
Adulte  (6-7 Yuri)</t>
  </si>
  <si>
    <t>BOLLYWOOD Intermédiaire Jeudi (20-21)</t>
  </si>
  <si>
    <r>
      <t xml:space="preserve">INITIATION </t>
    </r>
    <r>
      <rPr>
        <i/>
        <sz val="10"/>
        <color rgb="FFFF0000"/>
        <rFont val="Arial"/>
        <family val="2"/>
      </rPr>
      <t>+ EVEIL</t>
    </r>
    <r>
      <rPr>
        <i/>
        <sz val="10"/>
        <color theme="1"/>
        <rFont val="Arial"/>
        <family val="2"/>
      </rPr>
      <t xml:space="preserve">  (10+</t>
    </r>
    <r>
      <rPr>
        <i/>
        <sz val="10"/>
        <color rgb="FFFF0000"/>
        <rFont val="Arial"/>
        <family val="2"/>
      </rPr>
      <t>9</t>
    </r>
    <r>
      <rPr>
        <i/>
        <sz val="10"/>
        <color theme="1"/>
        <rFont val="Arial"/>
        <family val="2"/>
      </rPr>
      <t>)</t>
    </r>
  </si>
  <si>
    <t>BOLLYWOOD Ado Jeudi (16)</t>
  </si>
  <si>
    <t>CABARET (20 Orianne)</t>
  </si>
  <si>
    <t>BOLLYWOOD Enfant Vendredi (18)</t>
  </si>
  <si>
    <t>Fermeture Rideau</t>
  </si>
  <si>
    <t>P2 15 0</t>
  </si>
  <si>
    <t>Jardin x11 : Corinne/Isa/Nat/Anne/Lydia/Vero/Mandie/Eva/Audrey/Mélanie/Orianne                   Cour x9 : Marine/Delphine/Maria/Léane/Aurélie/Sophie/Maeva/Sandrine/Eloha</t>
  </si>
  <si>
    <r>
      <rPr>
        <b/>
        <sz val="10"/>
        <color theme="1"/>
        <rFont val="Arial"/>
        <family val="2"/>
        <scheme val="minor"/>
      </rPr>
      <t>19 élèves</t>
    </r>
    <r>
      <rPr>
        <sz val="10"/>
        <color theme="1"/>
        <rFont val="Arial"/>
        <family val="2"/>
        <scheme val="minor"/>
      </rPr>
      <t xml:space="preserve"> font X autre(s) discipline(s) Hors Prof</t>
    </r>
  </si>
  <si>
    <t>Partie 2</t>
  </si>
  <si>
    <t>-1</t>
  </si>
  <si>
    <t>Partie 1</t>
  </si>
  <si>
    <r>
      <t>« </t>
    </r>
    <r>
      <rPr>
        <b/>
        <u/>
        <sz val="12"/>
        <color rgb="FFFF0000"/>
        <rFont val="Arial"/>
        <family val="2"/>
      </rPr>
      <t>Rêve en Corps</t>
    </r>
    <r>
      <rPr>
        <b/>
        <u/>
        <sz val="12"/>
        <color rgb="FF000000"/>
        <rFont val="Arial"/>
        <family val="2"/>
      </rPr>
      <t xml:space="preserve"> »</t>
    </r>
  </si>
  <si>
    <r>
      <t>« </t>
    </r>
    <r>
      <rPr>
        <b/>
        <u/>
        <sz val="16"/>
        <color rgb="FFFF0000"/>
        <rFont val="Arial"/>
        <family val="2"/>
      </rPr>
      <t>Rêve en Corps</t>
    </r>
    <r>
      <rPr>
        <b/>
        <u/>
        <sz val="16"/>
        <color rgb="FF000000"/>
        <rFont val="Arial"/>
        <family val="2"/>
      </rPr>
      <t xml:space="preserve"> »</t>
    </r>
  </si>
  <si>
    <t>ENTRACTE</t>
  </si>
  <si>
    <t>FIN</t>
  </si>
  <si>
    <t>Loges</t>
  </si>
  <si>
    <r>
      <t>Loges</t>
    </r>
    <r>
      <rPr>
        <sz val="10"/>
        <color rgb="FFFF0000"/>
        <rFont val="Arial"/>
        <family val="2"/>
      </rPr>
      <t xml:space="preserve"> + 2 Chgt rapide</t>
    </r>
  </si>
  <si>
    <r>
      <t>Loges</t>
    </r>
    <r>
      <rPr>
        <sz val="10"/>
        <color rgb="FFFF0000"/>
        <rFont val="Arial"/>
        <family val="2"/>
      </rPr>
      <t xml:space="preserve"> + 3 Chgt rapide</t>
    </r>
  </si>
  <si>
    <r>
      <t>Loges</t>
    </r>
    <r>
      <rPr>
        <sz val="10"/>
        <color rgb="FFFF0000"/>
        <rFont val="Arial"/>
        <family val="2"/>
      </rPr>
      <t xml:space="preserve"> + 1 Chgt rapide</t>
    </r>
  </si>
  <si>
    <t>Sor</t>
  </si>
  <si>
    <t>Ent</t>
  </si>
  <si>
    <t>PARTIE 1 - feuille 2/3</t>
  </si>
  <si>
    <t>PARTIE 1 - feuille 3/3</t>
  </si>
  <si>
    <t>PARTIE 1 - feuille 1/3</t>
  </si>
  <si>
    <t>J</t>
  </si>
  <si>
    <t>C</t>
  </si>
  <si>
    <r>
      <t xml:space="preserve">BENARD-GUYONY </t>
    </r>
    <r>
      <rPr>
        <b/>
        <sz val="10"/>
        <color theme="1"/>
        <rFont val="Arial"/>
        <family val="2"/>
        <scheme val="minor"/>
      </rPr>
      <t>Jeanne</t>
    </r>
  </si>
  <si>
    <r>
      <t xml:space="preserve">CARLE </t>
    </r>
    <r>
      <rPr>
        <b/>
        <sz val="10"/>
        <color theme="1"/>
        <rFont val="Arial"/>
        <family val="2"/>
        <scheme val="minor"/>
      </rPr>
      <t>Louise</t>
    </r>
  </si>
  <si>
    <r>
      <t xml:space="preserve">CHAMBERS </t>
    </r>
    <r>
      <rPr>
        <b/>
        <sz val="10"/>
        <color theme="1"/>
        <rFont val="Arial"/>
        <family val="2"/>
        <scheme val="minor"/>
      </rPr>
      <t>Elsa</t>
    </r>
  </si>
  <si>
    <r>
      <t xml:space="preserve">GAILLARD </t>
    </r>
    <r>
      <rPr>
        <b/>
        <sz val="10"/>
        <color theme="1"/>
        <rFont val="Arial"/>
        <family val="2"/>
        <scheme val="minor"/>
      </rPr>
      <t>Rose G.</t>
    </r>
  </si>
  <si>
    <r>
      <t xml:space="preserve">BEY </t>
    </r>
    <r>
      <rPr>
        <b/>
        <sz val="10"/>
        <color theme="1"/>
        <rFont val="Arial"/>
        <family val="2"/>
        <scheme val="minor"/>
      </rPr>
      <t>Camélia</t>
    </r>
  </si>
  <si>
    <r>
      <t xml:space="preserve">COYRAL </t>
    </r>
    <r>
      <rPr>
        <b/>
        <sz val="10"/>
        <color theme="1"/>
        <rFont val="Arial"/>
        <family val="2"/>
        <scheme val="minor"/>
      </rPr>
      <t>Sophia</t>
    </r>
  </si>
  <si>
    <r>
      <t>DUFROU-MICHON</t>
    </r>
    <r>
      <rPr>
        <b/>
        <sz val="10"/>
        <color theme="1"/>
        <rFont val="Arial"/>
        <family val="2"/>
        <scheme val="minor"/>
      </rPr>
      <t xml:space="preserve"> Ivy</t>
    </r>
  </si>
  <si>
    <r>
      <t xml:space="preserve">LONNE </t>
    </r>
    <r>
      <rPr>
        <b/>
        <sz val="10"/>
        <color theme="1"/>
        <rFont val="Arial"/>
        <family val="2"/>
        <scheme val="minor"/>
      </rPr>
      <t>Rose L.</t>
    </r>
  </si>
  <si>
    <r>
      <t xml:space="preserve">VOINESON </t>
    </r>
    <r>
      <rPr>
        <b/>
        <sz val="10"/>
        <color theme="1"/>
        <rFont val="Arial"/>
        <family val="2"/>
        <scheme val="minor"/>
      </rPr>
      <t>Lila-Rose</t>
    </r>
  </si>
  <si>
    <r>
      <t xml:space="preserve">AICARD </t>
    </r>
    <r>
      <rPr>
        <b/>
        <sz val="10"/>
        <color theme="1"/>
        <rFont val="Arial"/>
        <family val="2"/>
        <scheme val="minor"/>
      </rPr>
      <t>Cassandra</t>
    </r>
  </si>
  <si>
    <r>
      <t xml:space="preserve">BERRADA </t>
    </r>
    <r>
      <rPr>
        <b/>
        <sz val="10"/>
        <color theme="1"/>
        <rFont val="Arial"/>
        <family val="2"/>
        <scheme val="minor"/>
      </rPr>
      <t>Selwa</t>
    </r>
  </si>
  <si>
    <r>
      <t xml:space="preserve">MARECHAL </t>
    </r>
    <r>
      <rPr>
        <b/>
        <sz val="10"/>
        <color theme="1"/>
        <rFont val="Arial"/>
        <family val="2"/>
        <scheme val="minor"/>
      </rPr>
      <t>Lyzie</t>
    </r>
  </si>
  <si>
    <r>
      <t xml:space="preserve">PETITJEAN BALOUT </t>
    </r>
    <r>
      <rPr>
        <b/>
        <sz val="10"/>
        <color theme="1"/>
        <rFont val="Arial"/>
        <family val="2"/>
        <scheme val="minor"/>
      </rPr>
      <t>Héloïse</t>
    </r>
  </si>
  <si>
    <r>
      <t xml:space="preserve">SAVIGNY </t>
    </r>
    <r>
      <rPr>
        <b/>
        <sz val="10"/>
        <color theme="1"/>
        <rFont val="Arial"/>
        <family val="2"/>
        <scheme val="minor"/>
      </rPr>
      <t>Lucie</t>
    </r>
  </si>
  <si>
    <r>
      <t xml:space="preserve">LABORDE </t>
    </r>
    <r>
      <rPr>
        <b/>
        <sz val="10"/>
        <color theme="1"/>
        <rFont val="Arial"/>
        <family val="2"/>
        <scheme val="minor"/>
      </rPr>
      <t>Calie</t>
    </r>
  </si>
  <si>
    <r>
      <t xml:space="preserve">MICHELOT </t>
    </r>
    <r>
      <rPr>
        <b/>
        <sz val="10"/>
        <color theme="1"/>
        <rFont val="Arial"/>
        <family val="2"/>
        <scheme val="minor"/>
      </rPr>
      <t>Ana</t>
    </r>
  </si>
  <si>
    <r>
      <t xml:space="preserve">PONASSIE-JAUREGUI </t>
    </r>
    <r>
      <rPr>
        <b/>
        <sz val="10"/>
        <color theme="1"/>
        <rFont val="Arial"/>
        <family val="2"/>
        <scheme val="minor"/>
      </rPr>
      <t>Agathe</t>
    </r>
  </si>
  <si>
    <r>
      <t xml:space="preserve">SIBRAC </t>
    </r>
    <r>
      <rPr>
        <b/>
        <sz val="10"/>
        <color theme="1"/>
        <rFont val="Arial"/>
        <family val="2"/>
        <scheme val="minor"/>
      </rPr>
      <t>Augustine</t>
    </r>
  </si>
  <si>
    <r>
      <t xml:space="preserve">BARBE </t>
    </r>
    <r>
      <rPr>
        <b/>
        <sz val="10"/>
        <color theme="1"/>
        <rFont val="Arial"/>
        <family val="2"/>
        <scheme val="minor"/>
      </rPr>
      <t>Océane</t>
    </r>
  </si>
  <si>
    <r>
      <t xml:space="preserve">CASTROUNIS </t>
    </r>
    <r>
      <rPr>
        <b/>
        <sz val="10"/>
        <color theme="1"/>
        <rFont val="Arial"/>
        <family val="2"/>
        <scheme val="minor"/>
      </rPr>
      <t>Noémie</t>
    </r>
  </si>
  <si>
    <r>
      <t xml:space="preserve">CHEVREAU </t>
    </r>
    <r>
      <rPr>
        <b/>
        <sz val="10"/>
        <color theme="1"/>
        <rFont val="Arial"/>
        <family val="2"/>
        <scheme val="minor"/>
      </rPr>
      <t>Sélène</t>
    </r>
  </si>
  <si>
    <r>
      <t xml:space="preserve">LAMOURELLE </t>
    </r>
    <r>
      <rPr>
        <b/>
        <sz val="10"/>
        <color rgb="FFFF0000"/>
        <rFont val="Arial"/>
        <family val="2"/>
        <scheme val="minor"/>
      </rPr>
      <t>Myla</t>
    </r>
  </si>
  <si>
    <r>
      <t xml:space="preserve">MARECHAL </t>
    </r>
    <r>
      <rPr>
        <b/>
        <sz val="10"/>
        <color theme="1"/>
        <rFont val="Arial"/>
        <family val="2"/>
        <scheme val="minor"/>
      </rPr>
      <t>Arya</t>
    </r>
  </si>
  <si>
    <r>
      <t xml:space="preserve">MARIGNAN </t>
    </r>
    <r>
      <rPr>
        <b/>
        <sz val="10"/>
        <color theme="1"/>
        <rFont val="Arial"/>
        <family val="2"/>
        <scheme val="minor"/>
      </rPr>
      <t>Mialy</t>
    </r>
  </si>
  <si>
    <r>
      <t xml:space="preserve">PERRIN </t>
    </r>
    <r>
      <rPr>
        <b/>
        <sz val="10"/>
        <color theme="1"/>
        <rFont val="Arial"/>
        <family val="2"/>
        <scheme val="minor"/>
      </rPr>
      <t>Tiha</t>
    </r>
  </si>
  <si>
    <r>
      <t>PRAT</t>
    </r>
    <r>
      <rPr>
        <b/>
        <sz val="10"/>
        <color rgb="FFFF0000"/>
        <rFont val="Arial"/>
        <family val="2"/>
        <scheme val="minor"/>
      </rPr>
      <t xml:space="preserve"> Louise</t>
    </r>
  </si>
  <si>
    <r>
      <t xml:space="preserve">BOSETTI </t>
    </r>
    <r>
      <rPr>
        <b/>
        <sz val="10"/>
        <color rgb="FFFF0000"/>
        <rFont val="Arial"/>
        <family val="2"/>
        <scheme val="minor"/>
      </rPr>
      <t>Lorena</t>
    </r>
  </si>
  <si>
    <r>
      <t xml:space="preserve">CORNAZ-WITKOWSKI </t>
    </r>
    <r>
      <rPr>
        <b/>
        <sz val="10"/>
        <color theme="1"/>
        <rFont val="Arial"/>
        <family val="2"/>
        <scheme val="minor"/>
      </rPr>
      <t>Roxane</t>
    </r>
  </si>
  <si>
    <r>
      <t xml:space="preserve">KUENEMANN </t>
    </r>
    <r>
      <rPr>
        <b/>
        <sz val="10"/>
        <color theme="1"/>
        <rFont val="Arial"/>
        <family val="2"/>
        <scheme val="minor"/>
      </rPr>
      <t>Manon</t>
    </r>
  </si>
  <si>
    <r>
      <t xml:space="preserve">LANSADE (COYRAL) </t>
    </r>
    <r>
      <rPr>
        <b/>
        <sz val="10"/>
        <color theme="1"/>
        <rFont val="Arial"/>
        <family val="2"/>
        <scheme val="minor"/>
      </rPr>
      <t>Anna</t>
    </r>
  </si>
  <si>
    <r>
      <t xml:space="preserve">LAPOULE </t>
    </r>
    <r>
      <rPr>
        <b/>
        <sz val="10"/>
        <color rgb="FFFF0000"/>
        <rFont val="Arial"/>
        <family val="2"/>
        <scheme val="minor"/>
      </rPr>
      <t>Mélina</t>
    </r>
  </si>
  <si>
    <r>
      <t xml:space="preserve">MEILLACQ </t>
    </r>
    <r>
      <rPr>
        <b/>
        <sz val="10"/>
        <color theme="1"/>
        <rFont val="Arial"/>
        <family val="2"/>
        <scheme val="minor"/>
      </rPr>
      <t>Eloïse</t>
    </r>
  </si>
  <si>
    <r>
      <t xml:space="preserve">RAYNAUD </t>
    </r>
    <r>
      <rPr>
        <b/>
        <sz val="10"/>
        <color theme="1"/>
        <rFont val="Arial"/>
        <family val="2"/>
        <scheme val="minor"/>
      </rPr>
      <t>Lucie</t>
    </r>
  </si>
  <si>
    <r>
      <t xml:space="preserve">SEGUIN </t>
    </r>
    <r>
      <rPr>
        <b/>
        <sz val="10"/>
        <color theme="1"/>
        <rFont val="Arial"/>
        <family val="2"/>
        <scheme val="minor"/>
      </rPr>
      <t>Maëlie</t>
    </r>
  </si>
  <si>
    <t>C-J</t>
  </si>
  <si>
    <r>
      <t xml:space="preserve">BOURDARIE </t>
    </r>
    <r>
      <rPr>
        <b/>
        <sz val="10"/>
        <color rgb="FFFF0000"/>
        <rFont val="Arial"/>
        <family val="2"/>
        <scheme val="minor"/>
      </rPr>
      <t>Anne</t>
    </r>
  </si>
  <si>
    <r>
      <t xml:space="preserve">BRUNA </t>
    </r>
    <r>
      <rPr>
        <b/>
        <sz val="10"/>
        <color rgb="FFFF0000"/>
        <rFont val="Arial"/>
        <family val="2"/>
        <scheme val="minor"/>
      </rPr>
      <t>Lydia</t>
    </r>
  </si>
  <si>
    <r>
      <t xml:space="preserve">DENAGE </t>
    </r>
    <r>
      <rPr>
        <b/>
        <sz val="10"/>
        <color rgb="FFFF0000"/>
        <rFont val="Arial"/>
        <family val="2"/>
        <scheme val="minor"/>
      </rPr>
      <t>Valérie</t>
    </r>
  </si>
  <si>
    <r>
      <t xml:space="preserve">DOMINGUES </t>
    </r>
    <r>
      <rPr>
        <b/>
        <sz val="10"/>
        <color rgb="FFFF0000"/>
        <rFont val="Arial"/>
        <family val="2"/>
        <scheme val="minor"/>
      </rPr>
      <t>Véronique</t>
    </r>
  </si>
  <si>
    <r>
      <t xml:space="preserve">JUSTIN </t>
    </r>
    <r>
      <rPr>
        <b/>
        <sz val="10"/>
        <color rgb="FFFF0000"/>
        <rFont val="Arial"/>
        <family val="2"/>
        <scheme val="minor"/>
      </rPr>
      <t>Laurence</t>
    </r>
    <r>
      <rPr>
        <sz val="10"/>
        <color rgb="FFFF0000"/>
        <rFont val="Arial"/>
        <family val="2"/>
        <scheme val="minor"/>
      </rPr>
      <t xml:space="preserve"> </t>
    </r>
  </si>
  <si>
    <r>
      <t xml:space="preserve">MUCIGNATO </t>
    </r>
    <r>
      <rPr>
        <b/>
        <sz val="10"/>
        <color theme="1"/>
        <rFont val="Arial"/>
        <family val="2"/>
        <scheme val="minor"/>
      </rPr>
      <t>Estelle</t>
    </r>
  </si>
  <si>
    <r>
      <t xml:space="preserve">MUCIGNATO </t>
    </r>
    <r>
      <rPr>
        <b/>
        <sz val="10"/>
        <color rgb="FFFF0000"/>
        <rFont val="Arial"/>
        <family val="2"/>
        <scheme val="minor"/>
      </rPr>
      <t>Marine</t>
    </r>
  </si>
  <si>
    <r>
      <t xml:space="preserve">MUCIGNATO </t>
    </r>
    <r>
      <rPr>
        <b/>
        <sz val="10"/>
        <color rgb="FFFF0000"/>
        <rFont val="Arial"/>
        <family val="2"/>
        <scheme val="minor"/>
      </rPr>
      <t>Nathalie</t>
    </r>
  </si>
  <si>
    <r>
      <t>PARAUD MAROT</t>
    </r>
    <r>
      <rPr>
        <b/>
        <sz val="10"/>
        <color rgb="FFFF0000"/>
        <rFont val="Arial"/>
        <family val="2"/>
        <scheme val="minor"/>
      </rPr>
      <t xml:space="preserve"> Sandrine</t>
    </r>
  </si>
  <si>
    <r>
      <t xml:space="preserve">BASSET </t>
    </r>
    <r>
      <rPr>
        <b/>
        <sz val="10"/>
        <color rgb="FFFF0000"/>
        <rFont val="Arial"/>
        <family val="2"/>
        <scheme val="minor"/>
      </rPr>
      <t>Audrey</t>
    </r>
  </si>
  <si>
    <r>
      <t xml:space="preserve">BAUTE </t>
    </r>
    <r>
      <rPr>
        <b/>
        <sz val="10"/>
        <color rgb="FFFF0000"/>
        <rFont val="Arial"/>
        <family val="2"/>
        <scheme val="minor"/>
      </rPr>
      <t>Lilou</t>
    </r>
  </si>
  <si>
    <r>
      <t xml:space="preserve">BENOIT </t>
    </r>
    <r>
      <rPr>
        <b/>
        <sz val="10"/>
        <color theme="1"/>
        <rFont val="Arial"/>
        <family val="2"/>
        <scheme val="minor"/>
      </rPr>
      <t>Catherine</t>
    </r>
  </si>
  <si>
    <r>
      <t xml:space="preserve">BRUHL </t>
    </r>
    <r>
      <rPr>
        <b/>
        <sz val="10"/>
        <color rgb="FFFF0000"/>
        <rFont val="Arial"/>
        <family val="2"/>
        <scheme val="minor"/>
      </rPr>
      <t>Lucie</t>
    </r>
  </si>
  <si>
    <r>
      <t xml:space="preserve">COYRAL </t>
    </r>
    <r>
      <rPr>
        <b/>
        <sz val="10"/>
        <color rgb="FFFF0000"/>
        <rFont val="Arial"/>
        <family val="2"/>
        <scheme val="minor"/>
      </rPr>
      <t xml:space="preserve">Delphine </t>
    </r>
  </si>
  <si>
    <r>
      <t xml:space="preserve">DELAVAULT </t>
    </r>
    <r>
      <rPr>
        <b/>
        <sz val="10"/>
        <color rgb="FFFF0000"/>
        <rFont val="Arial"/>
        <family val="2"/>
        <scheme val="minor"/>
      </rPr>
      <t>Eloha</t>
    </r>
  </si>
  <si>
    <r>
      <t xml:space="preserve">DOMINGUES </t>
    </r>
    <r>
      <rPr>
        <b/>
        <sz val="10"/>
        <color rgb="FFFF0000"/>
        <rFont val="Arial"/>
        <family val="2"/>
        <scheme val="minor"/>
      </rPr>
      <t>Mandie</t>
    </r>
  </si>
  <si>
    <r>
      <t xml:space="preserve">MICHEL </t>
    </r>
    <r>
      <rPr>
        <b/>
        <sz val="10"/>
        <color rgb="FFFF0000"/>
        <rFont val="Arial"/>
        <family val="2"/>
        <scheme val="minor"/>
      </rPr>
      <t xml:space="preserve"> Isabelle</t>
    </r>
  </si>
  <si>
    <r>
      <t xml:space="preserve">URSENBACH </t>
    </r>
    <r>
      <rPr>
        <b/>
        <sz val="10"/>
        <color rgb="FFFF0000"/>
        <rFont val="Arial"/>
        <family val="2"/>
        <scheme val="minor"/>
      </rPr>
      <t>Sophie</t>
    </r>
  </si>
  <si>
    <r>
      <t>TOURDIAS / LESCA</t>
    </r>
    <r>
      <rPr>
        <b/>
        <sz val="10"/>
        <color theme="1"/>
        <rFont val="Arial"/>
        <family val="2"/>
        <scheme val="minor"/>
      </rPr>
      <t xml:space="preserve"> Julie</t>
    </r>
  </si>
  <si>
    <r>
      <t xml:space="preserve">BAUTE </t>
    </r>
    <r>
      <rPr>
        <b/>
        <sz val="10"/>
        <color rgb="FFFF0000"/>
        <rFont val="Arial"/>
        <family val="2"/>
      </rPr>
      <t>Lilou</t>
    </r>
  </si>
  <si>
    <r>
      <t xml:space="preserve">BOUYSSOU </t>
    </r>
    <r>
      <rPr>
        <b/>
        <sz val="10"/>
        <color theme="1"/>
        <rFont val="Arial"/>
        <family val="2"/>
        <scheme val="minor"/>
      </rPr>
      <t>Elodie</t>
    </r>
  </si>
  <si>
    <r>
      <t xml:space="preserve">DUC LAGRANGE </t>
    </r>
    <r>
      <rPr>
        <b/>
        <sz val="10"/>
        <color theme="1"/>
        <rFont val="Arial"/>
        <family val="2"/>
        <scheme val="minor"/>
      </rPr>
      <t>Luna</t>
    </r>
  </si>
  <si>
    <r>
      <t xml:space="preserve">TOURIAS </t>
    </r>
    <r>
      <rPr>
        <b/>
        <sz val="10"/>
        <color rgb="FFFF0000"/>
        <rFont val="Arial"/>
        <family val="2"/>
        <scheme val="minor"/>
      </rPr>
      <t>Orianne</t>
    </r>
  </si>
  <si>
    <r>
      <t xml:space="preserve">VANDERMEERSCH </t>
    </r>
    <r>
      <rPr>
        <b/>
        <sz val="10"/>
        <color rgb="FFFF0000"/>
        <rFont val="Arial"/>
        <family val="2"/>
        <scheme val="minor"/>
      </rPr>
      <t>Aurelie</t>
    </r>
  </si>
  <si>
    <r>
      <t xml:space="preserve">VERHAEGHE </t>
    </r>
    <r>
      <rPr>
        <b/>
        <sz val="10"/>
        <color theme="1"/>
        <rFont val="Arial"/>
        <family val="2"/>
        <scheme val="minor"/>
      </rPr>
      <t>Julie</t>
    </r>
  </si>
  <si>
    <r>
      <t xml:space="preserve">ANDURAND </t>
    </r>
    <r>
      <rPr>
        <b/>
        <sz val="10"/>
        <color theme="1"/>
        <rFont val="Arial"/>
        <family val="2"/>
        <scheme val="minor"/>
      </rPr>
      <t>Céline</t>
    </r>
  </si>
  <si>
    <r>
      <t xml:space="preserve">HEYMS </t>
    </r>
    <r>
      <rPr>
        <b/>
        <sz val="10"/>
        <color theme="1"/>
        <rFont val="Arial"/>
        <family val="2"/>
        <scheme val="minor"/>
      </rPr>
      <t>Alicia</t>
    </r>
  </si>
  <si>
    <r>
      <t xml:space="preserve">LANGELEZ </t>
    </r>
    <r>
      <rPr>
        <b/>
        <sz val="10"/>
        <color rgb="FFFF0000"/>
        <rFont val="Arial"/>
        <family val="2"/>
        <scheme val="minor"/>
      </rPr>
      <t>Léane</t>
    </r>
  </si>
  <si>
    <r>
      <t xml:space="preserve">MICHEL  </t>
    </r>
    <r>
      <rPr>
        <b/>
        <sz val="10"/>
        <color theme="1"/>
        <rFont val="Arial"/>
        <family val="2"/>
        <scheme val="minor"/>
      </rPr>
      <t>Nahia</t>
    </r>
  </si>
  <si>
    <r>
      <t>VIGNOLLES</t>
    </r>
    <r>
      <rPr>
        <b/>
        <sz val="10"/>
        <color rgb="FFFF0000"/>
        <rFont val="Arial"/>
        <family val="2"/>
        <scheme val="minor"/>
      </rPr>
      <t xml:space="preserve"> Eva</t>
    </r>
  </si>
  <si>
    <r>
      <t xml:space="preserve">BERROU </t>
    </r>
    <r>
      <rPr>
        <b/>
        <sz val="10"/>
        <color theme="1"/>
        <rFont val="Arial"/>
        <family val="2"/>
        <scheme val="minor"/>
      </rPr>
      <t>Elisa</t>
    </r>
  </si>
  <si>
    <r>
      <t xml:space="preserve">GOULINAT </t>
    </r>
    <r>
      <rPr>
        <b/>
        <sz val="10"/>
        <color theme="1"/>
        <rFont val="Arial"/>
        <family val="2"/>
        <scheme val="minor"/>
      </rPr>
      <t>Loucena</t>
    </r>
  </si>
  <si>
    <r>
      <t xml:space="preserve">MARTIN DECOURT </t>
    </r>
    <r>
      <rPr>
        <b/>
        <sz val="10"/>
        <color rgb="FFFF0000"/>
        <rFont val="Arial"/>
        <family val="2"/>
        <scheme val="minor"/>
      </rPr>
      <t>Eléa</t>
    </r>
  </si>
  <si>
    <r>
      <t xml:space="preserve">NICOL </t>
    </r>
    <r>
      <rPr>
        <b/>
        <sz val="10"/>
        <color rgb="FFFF0000"/>
        <rFont val="Arial"/>
        <family val="2"/>
        <scheme val="minor"/>
      </rPr>
      <t>Jade</t>
    </r>
  </si>
  <si>
    <r>
      <t xml:space="preserve">POGET </t>
    </r>
    <r>
      <rPr>
        <b/>
        <sz val="10"/>
        <color rgb="FFFF0000"/>
        <rFont val="Arial"/>
        <family val="2"/>
        <scheme val="minor"/>
      </rPr>
      <t>Cyrine</t>
    </r>
  </si>
  <si>
    <r>
      <t xml:space="preserve">POIREE </t>
    </r>
    <r>
      <rPr>
        <b/>
        <sz val="10"/>
        <color rgb="FFFF0000"/>
        <rFont val="Arial"/>
        <family val="2"/>
        <scheme val="minor"/>
      </rPr>
      <t>Manon</t>
    </r>
  </si>
  <si>
    <r>
      <t xml:space="preserve">PUYGAUTHIER </t>
    </r>
    <r>
      <rPr>
        <b/>
        <sz val="10"/>
        <color rgb="FFFF0000"/>
        <rFont val="Arial"/>
        <family val="2"/>
        <scheme val="minor"/>
      </rPr>
      <t>Marion</t>
    </r>
  </si>
  <si>
    <r>
      <t xml:space="preserve">ALEXIS </t>
    </r>
    <r>
      <rPr>
        <b/>
        <sz val="10"/>
        <color theme="1"/>
        <rFont val="Arial"/>
        <family val="2"/>
        <scheme val="minor"/>
      </rPr>
      <t>Romane</t>
    </r>
  </si>
  <si>
    <r>
      <t xml:space="preserve">DEBYSER-CABIAS </t>
    </r>
    <r>
      <rPr>
        <b/>
        <sz val="10"/>
        <color rgb="FFFF0000"/>
        <rFont val="Arial"/>
        <family val="2"/>
        <scheme val="minor"/>
      </rPr>
      <t>Telma</t>
    </r>
  </si>
  <si>
    <r>
      <t xml:space="preserve">DELAVAULT </t>
    </r>
    <r>
      <rPr>
        <b/>
        <sz val="10"/>
        <color rgb="FFFF0000"/>
        <rFont val="Arial"/>
        <family val="2"/>
      </rPr>
      <t>Eloha</t>
    </r>
  </si>
  <si>
    <r>
      <t xml:space="preserve">LACROUTS </t>
    </r>
    <r>
      <rPr>
        <b/>
        <sz val="10"/>
        <color theme="1"/>
        <rFont val="Arial"/>
        <family val="2"/>
        <scheme val="minor"/>
      </rPr>
      <t>Pauline</t>
    </r>
  </si>
  <si>
    <r>
      <t xml:space="preserve">LESPES </t>
    </r>
    <r>
      <rPr>
        <b/>
        <sz val="10"/>
        <color theme="1"/>
        <rFont val="Arial"/>
        <family val="2"/>
        <scheme val="minor"/>
      </rPr>
      <t>Alicia</t>
    </r>
  </si>
  <si>
    <t>A terminer Street et Bollywood + Partie 2 (tous) + Final à faire sur autre page</t>
  </si>
  <si>
    <t>Coussins rose pour chacune x9</t>
  </si>
  <si>
    <t>Table carré x1 noir et chaises noire x2</t>
  </si>
  <si>
    <t>Chacune sa chaise x20</t>
  </si>
  <si>
    <t>Lumière x170</t>
  </si>
  <si>
    <t>Porte manteau à Jardin devant scène
avec tutu noir/rose et décoration</t>
  </si>
  <si>
    <t>Parapluie noir x6 avec elles 
et Parapluie de couleur en coulisses x6</t>
  </si>
  <si>
    <r>
      <t xml:space="preserve">BOURDEROU </t>
    </r>
    <r>
      <rPr>
        <b/>
        <sz val="10"/>
        <color theme="1"/>
        <rFont val="Arial"/>
        <family val="2"/>
        <scheme val="minor"/>
      </rPr>
      <t>Milla</t>
    </r>
  </si>
  <si>
    <r>
      <t xml:space="preserve">D'ARCANGUES </t>
    </r>
    <r>
      <rPr>
        <b/>
        <sz val="10"/>
        <color theme="1"/>
        <rFont val="Arial"/>
        <family val="2"/>
        <scheme val="minor"/>
      </rPr>
      <t>Elaïa D.</t>
    </r>
  </si>
  <si>
    <r>
      <t xml:space="preserve">GUICHARD </t>
    </r>
    <r>
      <rPr>
        <b/>
        <sz val="10"/>
        <color theme="1"/>
        <rFont val="Arial"/>
        <family val="2"/>
        <scheme val="minor"/>
      </rPr>
      <t>Soline</t>
    </r>
  </si>
  <si>
    <r>
      <t xml:space="preserve">LIBERT </t>
    </r>
    <r>
      <rPr>
        <b/>
        <sz val="10"/>
        <color theme="1"/>
        <rFont val="Arial"/>
        <family val="2"/>
        <scheme val="minor"/>
      </rPr>
      <t>Elaia L.</t>
    </r>
  </si>
  <si>
    <r>
      <t xml:space="preserve">PAREAU </t>
    </r>
    <r>
      <rPr>
        <b/>
        <sz val="10"/>
        <color theme="1"/>
        <rFont val="Arial"/>
        <family val="2"/>
        <scheme val="minor"/>
      </rPr>
      <t>Angelina</t>
    </r>
  </si>
  <si>
    <r>
      <t xml:space="preserve">SAINT-JOURS </t>
    </r>
    <r>
      <rPr>
        <b/>
        <sz val="10"/>
        <color theme="1"/>
        <rFont val="Arial"/>
        <family val="2"/>
        <scheme val="minor"/>
      </rPr>
      <t xml:space="preserve"> Jeanne</t>
    </r>
  </si>
  <si>
    <r>
      <t xml:space="preserve">SAUBOIS </t>
    </r>
    <r>
      <rPr>
        <b/>
        <sz val="10"/>
        <color rgb="FFFF0000"/>
        <rFont val="Arial"/>
        <family val="2"/>
        <scheme val="minor"/>
      </rPr>
      <t>Ines</t>
    </r>
  </si>
  <si>
    <r>
      <t xml:space="preserve">AZZI </t>
    </r>
    <r>
      <rPr>
        <b/>
        <sz val="10"/>
        <color theme="1"/>
        <rFont val="Arial"/>
        <family val="2"/>
        <scheme val="minor"/>
      </rPr>
      <t>Jade</t>
    </r>
  </si>
  <si>
    <r>
      <t xml:space="preserve">BOUQUET </t>
    </r>
    <r>
      <rPr>
        <b/>
        <sz val="10"/>
        <color theme="1"/>
        <rFont val="Arial"/>
        <family val="2"/>
        <scheme val="minor"/>
      </rPr>
      <t>Louise</t>
    </r>
  </si>
  <si>
    <r>
      <t xml:space="preserve">BRICHON </t>
    </r>
    <r>
      <rPr>
        <b/>
        <sz val="10"/>
        <color theme="1"/>
        <rFont val="Arial"/>
        <family val="2"/>
        <scheme val="minor"/>
      </rPr>
      <t>Suzanne</t>
    </r>
  </si>
  <si>
    <r>
      <t xml:space="preserve">COYRAL </t>
    </r>
    <r>
      <rPr>
        <b/>
        <sz val="10"/>
        <color theme="1"/>
        <rFont val="Arial"/>
        <family val="2"/>
        <scheme val="minor"/>
      </rPr>
      <t>Ava</t>
    </r>
  </si>
  <si>
    <r>
      <t xml:space="preserve">HIROUX </t>
    </r>
    <r>
      <rPr>
        <b/>
        <sz val="10"/>
        <color theme="1"/>
        <rFont val="Arial"/>
        <family val="2"/>
        <scheme val="minor"/>
      </rPr>
      <t>Léonie</t>
    </r>
  </si>
  <si>
    <r>
      <t xml:space="preserve">LAPOUTGE </t>
    </r>
    <r>
      <rPr>
        <b/>
        <sz val="10"/>
        <color theme="1"/>
        <rFont val="Arial"/>
        <family val="2"/>
        <scheme val="minor"/>
      </rPr>
      <t>Clara</t>
    </r>
  </si>
  <si>
    <r>
      <t xml:space="preserve">MATHE </t>
    </r>
    <r>
      <rPr>
        <b/>
        <sz val="10"/>
        <color theme="1"/>
        <rFont val="Arial"/>
        <family val="2"/>
        <scheme val="minor"/>
      </rPr>
      <t>Noémie</t>
    </r>
  </si>
  <si>
    <r>
      <t xml:space="preserve">SALMON </t>
    </r>
    <r>
      <rPr>
        <b/>
        <sz val="10"/>
        <color theme="1"/>
        <rFont val="Arial"/>
        <family val="2"/>
        <scheme val="minor"/>
      </rPr>
      <t>Julia</t>
    </r>
  </si>
  <si>
    <r>
      <t>SAUBOIS</t>
    </r>
    <r>
      <rPr>
        <b/>
        <sz val="10"/>
        <color rgb="FFFF0000"/>
        <rFont val="Arial"/>
        <family val="2"/>
        <scheme val="minor"/>
      </rPr>
      <t xml:space="preserve"> Thaïs</t>
    </r>
  </si>
  <si>
    <t>Temps consolidé Orianne</t>
  </si>
  <si>
    <t>vs info Estelle</t>
  </si>
  <si>
    <r>
      <t xml:space="preserve">DUFROU-MICHON </t>
    </r>
    <r>
      <rPr>
        <b/>
        <sz val="10"/>
        <color theme="1"/>
        <rFont val="Arial"/>
        <family val="2"/>
        <scheme val="minor"/>
      </rPr>
      <t>Ivy</t>
    </r>
  </si>
  <si>
    <r>
      <t>URSENBACH</t>
    </r>
    <r>
      <rPr>
        <b/>
        <sz val="10"/>
        <color rgb="FFFF0000"/>
        <rFont val="Arial"/>
        <family val="2"/>
        <scheme val="minor"/>
      </rPr>
      <t xml:space="preserve"> Sophie</t>
    </r>
  </si>
  <si>
    <r>
      <t>BAUTE</t>
    </r>
    <r>
      <rPr>
        <b/>
        <sz val="10"/>
        <color rgb="FFFF0000"/>
        <rFont val="Arial"/>
        <family val="2"/>
      </rPr>
      <t xml:space="preserve"> Lilou</t>
    </r>
  </si>
  <si>
    <r>
      <t>VANDERMEERSCH</t>
    </r>
    <r>
      <rPr>
        <b/>
        <sz val="10"/>
        <color rgb="FFFF0000"/>
        <rFont val="Arial"/>
        <family val="2"/>
        <scheme val="minor"/>
      </rPr>
      <t xml:space="preserve"> Aurelie</t>
    </r>
  </si>
  <si>
    <r>
      <t xml:space="preserve">VIGNOLLES </t>
    </r>
    <r>
      <rPr>
        <b/>
        <sz val="10"/>
        <color rgb="FFFF0000"/>
        <rFont val="Arial"/>
        <family val="2"/>
        <scheme val="minor"/>
      </rPr>
      <t>Eva</t>
    </r>
  </si>
  <si>
    <r>
      <t>BRUNA</t>
    </r>
    <r>
      <rPr>
        <b/>
        <sz val="10"/>
        <color rgb="FFFF0000"/>
        <rFont val="Arial"/>
        <family val="2"/>
        <scheme val="minor"/>
      </rPr>
      <t xml:space="preserve"> Lydia</t>
    </r>
  </si>
  <si>
    <r>
      <t>COYRAL</t>
    </r>
    <r>
      <rPr>
        <b/>
        <sz val="10"/>
        <color rgb="FFFF0000"/>
        <rFont val="Arial"/>
        <family val="2"/>
        <scheme val="minor"/>
      </rPr>
      <t xml:space="preserve"> Delphine </t>
    </r>
  </si>
  <si>
    <r>
      <t xml:space="preserve">MICHEL  </t>
    </r>
    <r>
      <rPr>
        <b/>
        <sz val="10"/>
        <color rgb="FFFF0000"/>
        <rFont val="Arial"/>
        <family val="2"/>
        <scheme val="minor"/>
      </rPr>
      <t>Isabelle</t>
    </r>
  </si>
  <si>
    <r>
      <t>BALOUT</t>
    </r>
    <r>
      <rPr>
        <b/>
        <sz val="10"/>
        <color rgb="FFFF0000"/>
        <rFont val="Arial"/>
        <family val="2"/>
        <scheme val="minor"/>
      </rPr>
      <t xml:space="preserve"> Corinne</t>
    </r>
  </si>
  <si>
    <r>
      <t xml:space="preserve">CAZE </t>
    </r>
    <r>
      <rPr>
        <b/>
        <sz val="10"/>
        <color rgb="FFFF0000"/>
        <rFont val="Arial"/>
        <family val="2"/>
        <scheme val="minor"/>
      </rPr>
      <t>Maëva</t>
    </r>
  </si>
  <si>
    <r>
      <t xml:space="preserve">GONCALVES DE SOUSA </t>
    </r>
    <r>
      <rPr>
        <b/>
        <sz val="10"/>
        <color rgb="FFFF0000"/>
        <rFont val="Arial"/>
        <family val="2"/>
        <scheme val="minor"/>
      </rPr>
      <t>Maria</t>
    </r>
  </si>
  <si>
    <r>
      <t xml:space="preserve">MARTINEZ </t>
    </r>
    <r>
      <rPr>
        <b/>
        <sz val="10"/>
        <color rgb="FFFF0000"/>
        <rFont val="Arial"/>
        <family val="2"/>
        <scheme val="minor"/>
      </rPr>
      <t>Mélanie</t>
    </r>
  </si>
  <si>
    <r>
      <t xml:space="preserve">PARAUD MAROT </t>
    </r>
    <r>
      <rPr>
        <b/>
        <sz val="10"/>
        <color rgb="FFFF0000"/>
        <rFont val="Arial"/>
        <family val="2"/>
        <scheme val="minor"/>
      </rPr>
      <t>Sandrine</t>
    </r>
  </si>
  <si>
    <r>
      <t xml:space="preserve">PRAT </t>
    </r>
    <r>
      <rPr>
        <b/>
        <sz val="10"/>
        <color rgb="FFFF0000"/>
        <rFont val="Arial"/>
        <family val="2"/>
        <scheme val="minor"/>
      </rPr>
      <t>Louise</t>
    </r>
  </si>
  <si>
    <t>PARTIE 2 - feuille 1/3</t>
  </si>
  <si>
    <t>PARTIE 2 - feuille 2/3</t>
  </si>
  <si>
    <t>PARTIE 2 - feuille 3/3</t>
  </si>
  <si>
    <t>PARTIE 1</t>
  </si>
  <si>
    <t>PARTIE 2</t>
  </si>
  <si>
    <t>01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</si>
  <si>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</si>
  <si>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</si>
  <si>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</si>
  <si>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</si>
  <si>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</si>
  <si>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</si>
  <si>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</si>
  <si>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</si>
  <si>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</si>
  <si>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/</t>
  </si>
  <si>
    <t>10</t>
  </si>
  <si>
    <t>11</t>
  </si>
  <si>
    <t>12</t>
  </si>
  <si>
    <t>13</t>
  </si>
  <si>
    <t>14</t>
  </si>
  <si>
    <t>15</t>
  </si>
  <si>
    <r>
      <t>MODERN'JAZZ
Adultes Inter (</t>
    </r>
    <r>
      <rPr>
        <b/>
        <sz val="10"/>
        <color rgb="FFFF0000"/>
        <rFont val="Arial"/>
        <family val="2"/>
      </rPr>
      <t>19</t>
    </r>
    <r>
      <rPr>
        <b/>
        <sz val="10"/>
        <rFont val="Arial"/>
        <family val="2"/>
      </rPr>
      <t>)</t>
    </r>
  </si>
  <si>
    <t>Lilou?</t>
  </si>
  <si>
    <r>
      <t>MODERN'JAZZ
Adultes Inter (</t>
    </r>
    <r>
      <rPr>
        <b/>
        <sz val="10"/>
        <color rgb="FFFF0000"/>
        <rFont val="Arial"/>
        <family val="2"/>
      </rPr>
      <t>18</t>
    </r>
    <r>
      <rPr>
        <b/>
        <sz val="10"/>
        <rFont val="Arial"/>
        <family val="2"/>
      </rPr>
      <t>)</t>
    </r>
  </si>
  <si>
    <r>
      <rPr>
        <b/>
        <sz val="10"/>
        <color theme="4"/>
        <rFont val="Arial"/>
        <family val="2"/>
      </rPr>
      <t>11</t>
    </r>
  </si>
  <si>
    <r>
      <rPr>
        <b/>
        <sz val="10"/>
        <color theme="5" tint="-0.249977111117893"/>
        <rFont val="Arial"/>
        <family val="2"/>
      </rPr>
      <t>10</t>
    </r>
  </si>
  <si>
    <t>Julie!</t>
  </si>
  <si>
    <t>Tenue Violette (Robe longue style kaftan arabe, imprimé floral digital, manches longues (modèle Najma Plus Size)</t>
  </si>
  <si>
    <t>Boom Padi</t>
  </si>
  <si>
    <t>Paroles (auteur des paroles) : Priya Saraiya
Composition (musique) : Souumil Shringarpure et Siddharth Mahadevan
Interprètes (chanteurs) : Shreya Ghoshal et Osman Mir</t>
  </si>
  <si>
    <r>
      <rPr>
        <b/>
        <sz val="9"/>
        <color theme="1"/>
        <rFont val="Arial"/>
        <family val="2"/>
      </rPr>
      <t>Côté Cour (8 danseuses)</t>
    </r>
    <r>
      <rPr>
        <sz val="9"/>
        <color theme="1"/>
        <rFont val="Arial"/>
        <family val="2"/>
      </rPr>
      <t xml:space="preserve"> :
Amanda SAVEAN - cour
Clémentine JOLY - cour
Élisée JOLLARD - cour
Emilie LEBAILLIF - cour
Marianne JOLLARD - cour
Typhen HECK - cour
Vera SCOTTI - cour
Roxane VILDIEU - cour
</t>
    </r>
    <r>
      <rPr>
        <b/>
        <sz val="9"/>
        <color theme="1"/>
        <rFont val="Arial"/>
        <family val="2"/>
      </rPr>
      <t>Côté Jardin (8 danseuses) :</t>
    </r>
    <r>
      <rPr>
        <sz val="9"/>
        <color theme="1"/>
        <rFont val="Arial"/>
        <family val="2"/>
      </rPr>
      <t xml:space="preserve">
Céline BARNEL - jardin
Céline EYHERABIDE - jardin
Céline POIREE - jardin
Corinne BALOUT - jardin
Julie Claire DUBOIS - jardin
Maëva CAZE - jardin
Maria GONCALVES DE SOUSA - jardin
Norah RIDEL-DROETTO - jardin</t>
    </r>
  </si>
  <si>
    <r>
      <rPr>
        <b/>
        <sz val="8"/>
        <color rgb="FF000000"/>
        <rFont val="Arial"/>
        <family val="2"/>
        <scheme val="minor"/>
      </rPr>
      <t>Côté Jardin (20 danseuses) :</t>
    </r>
    <r>
      <rPr>
        <sz val="8"/>
        <color rgb="FF000000"/>
        <rFont val="Arial"/>
        <family val="2"/>
        <scheme val="minor"/>
      </rPr>
      <t xml:space="preserve">
Alexandra BARRIOL - jardin
Amandine BOSTVIRONNOIS - jardin
Angélique LAGUEYRIE - jardin
Clémentine BERROU - jardin
Cyrine POGET - jardin
Eloha DELAVAULT - jardin
Eléa MARTIN DECOURT - jardin
Gisèle SANCHEZ - jardin
Laurence JUSTIN - jardin
Lucie BRUHL - jardin
Lydia BRUNA - jardin
Manon POIREE - jardin
Marine MUCIGNATO - jardin
Mélanie MARTINEZ - jardin
Nathalie MUCIGNATO - jardin
Sabrina LAM - jardin
Stéphanie PEYRESAUBES - jardin
Telma DEBYSER-CABIAS - jardin
Valérie DENAGE - jardin
Véronique DOMINGUES - jardin</t>
    </r>
  </si>
  <si>
    <t>Tenue Jaune, Robe longue style arabe/bollywood, imprimé floral digital, manches longues, col V (modèle Najma). Du 8-14 ans pour les plus jeunes jusqu’à 10-16 ans / S pour les ados.</t>
  </si>
  <si>
    <t>Tenue Rouge, Robe style kaftan (modèle alternatif sélectionné par Isa)</t>
  </si>
  <si>
    <t>Bollywood Masala</t>
  </si>
  <si>
    <t>Praful (PARVATI INDIA) production</t>
  </si>
  <si>
    <r>
      <rPr>
        <b/>
        <sz val="9"/>
        <color theme="1"/>
        <rFont val="Arial"/>
        <family val="2"/>
      </rPr>
      <t>Côté Jardin (16 danseuses) :</t>
    </r>
    <r>
      <rPr>
        <sz val="9"/>
        <color theme="1"/>
        <rFont val="Arial"/>
        <family val="2"/>
      </rPr>
      <t xml:space="preserve">
Ambre GARCIA - jardin
Camille LALANDE - jardin
Eléana ITALIANO - jardin
Emmy MAUREL AUGEREAU - jardin
Emma PEYRESAUBES - jardin
Jade NICOL - jardin
Lina EL OMARI - jardin
Loanne GUICHARD - jardin
Lorena BOSETTI - jardin
Louise PRAT - jardin
Lucie LAURENT - jardin
Maud BIGAUD - jardin
Mélina LAPOULE - jardin
Manon DARRENOUGUE - jardin
Marion PUYGAUTHIER - jardin
Soleine MARTINEZ - jardin</t>
    </r>
  </si>
  <si>
    <t>Oh Mama Tetema</t>
  </si>
  <si>
    <t>Rayvanny, Vishal Mishra, Nora Fatehi, The Plugz Europe</t>
  </si>
  <si>
    <r>
      <rPr>
        <b/>
        <sz val="9"/>
        <color theme="1"/>
        <rFont val="Arial"/>
        <family val="2"/>
      </rPr>
      <t>Côté Jardin (18 danseuses) :</t>
    </r>
    <r>
      <rPr>
        <sz val="9"/>
        <color theme="1"/>
        <rFont val="Arial"/>
        <family val="2"/>
      </rPr>
      <t xml:space="preserve">
Alana BLANC - jardin
Anna MACHENAUD - jardin
Anna SAVEAN - jardin
Elina SEGUIN - jardin
Elise EYHERABIDE - jardin
Emma FILLASTRE-PLACE - jardin
Ines SAUBOIS - jardin
Justine GUILLARD - jardin
Léa LADAURADE - jardin
Léana CORNIC - jardin
Louise LEONE - jardin
Lyse DESOINDRE - jardin
Manon LADAURADE - jardin
Margot DELPECH - jardin
Nina BOSSUET - jardin
Romane MARTINEZ - jardin
Thaïs SAUBOIS - jardin
Théa GRELLETY - jardin</t>
    </r>
  </si>
  <si>
    <t>Tenue Verte, Robe longue style arabe, imprimé floral/plantes, manches longues, col V.</t>
  </si>
  <si>
    <t>Uyi Amma</t>
  </si>
  <si>
    <t>Parolier (auteur des paroles) : Amitabh Bhattacharya
Compositeur (musique) : Amit Trivedi
Interprète (chanteuse) : Madhubanti Bagchi</t>
  </si>
  <si>
    <t>Toutes les danseuses Bollywood, entrée à jardin</t>
  </si>
  <si>
    <t>Tenue Bollywood</t>
  </si>
  <si>
    <t>Medley Bollywood</t>
  </si>
  <si>
    <t>Praful (PARVATI INDIA) production + Film Happy New Year (2014) Parolier (auteur des paroles) : Irshad Kamil
Compositeurs (musique) : Vishal-Shekhar (le duo Vishal Dadlani et Shekhar Ravjiani)
Interprète (chanteur) : Sukhwinder Singh</t>
  </si>
  <si>
    <t>Vidéo Enfant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</si>
</sst>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</font>
    <font>
      <b/>
      <u/>
      <sz val="12"/>
      <color rgb="FF000000"/>
      <name val="Arial"/>
      <family val="2"/>
    </font>
    <font>
      <sz val="10"/>
      <name val="Arial"/>
      <family val="2"/>
    </font>
    <font>
      <b/>
      <u/>
      <sz val="12"/>
      <color rgb="FF000000"/>
      <name val="Arial"/>
      <family val="2"/>
    </font>
    <font>
      <u/>
      <sz val="10"/>
      <color rgb="FFFF0000"/>
      <name val="Arial"/>
      <family val="2"/>
    </font>
    <font>
      <b/>
      <u/>
      <sz val="12"/>
      <color rgb="FFFF0000"/>
      <name val="Arial"/>
      <family val="2"/>
    </font>
    <font>
      <sz val="10"/>
      <color rgb="FFFFC000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10"/>
      <color rgb="FFCC99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rgb="FFFF33CC"/>
      <name val="Arial"/>
      <family val="2"/>
    </font>
    <font>
      <sz val="10"/>
      <color rgb="FF0070C0"/>
      <name val="Arial"/>
      <family val="2"/>
    </font>
    <font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rgb="FFFF6600"/>
      <name val="Arial"/>
      <family val="2"/>
    </font>
    <font>
      <b/>
      <sz val="10"/>
      <color rgb="FF000000"/>
      <name val="Arial"/>
      <family val="2"/>
    </font>
    <font>
      <u/>
      <sz val="12"/>
      <color theme="1"/>
      <name val="Arial"/>
      <family val="2"/>
    </font>
    <font>
      <b/>
      <sz val="9"/>
      <color rgb="FFFF0000"/>
      <name val="Arial"/>
      <family val="2"/>
    </font>
    <font>
      <b/>
      <i/>
      <sz val="9"/>
      <color theme="1"/>
      <name val="Arial"/>
      <family val="2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rgb="FFFF00FF"/>
      <name val="Arial"/>
      <family val="2"/>
    </font>
    <font>
      <b/>
      <sz val="10"/>
      <color rgb="FF674EA7"/>
      <name val="Arial"/>
      <family val="2"/>
    </font>
    <font>
      <b/>
      <sz val="10"/>
      <color rgb="FFFFFFFF"/>
      <name val="Arial"/>
      <family val="2"/>
    </font>
    <font>
      <b/>
      <sz val="10"/>
      <color theme="9" tint="-0.249977111117893"/>
      <name val="Arial"/>
      <family val="2"/>
    </font>
    <font>
      <b/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0"/>
      <color theme="0"/>
      <name val="Arial"/>
      <family val="2"/>
      <scheme val="minor"/>
    </font>
    <font>
      <b/>
      <u/>
      <sz val="12"/>
      <color rgb="FF000000"/>
      <name val="Arial"/>
      <family val="2"/>
    </font>
    <font>
      <b/>
      <sz val="10"/>
      <color rgb="FF00B0F0"/>
      <name val="Arial"/>
      <family val="2"/>
    </font>
    <font>
      <b/>
      <sz val="10"/>
      <name val="Arial"/>
      <family val="2"/>
    </font>
    <font>
      <sz val="10"/>
      <color rgb="FFFF00FF"/>
      <name val="Arial"/>
      <family val="2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b/>
      <u/>
      <sz val="12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33CC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sz val="10"/>
      <color rgb="FFFF6600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sz val="10"/>
      <color theme="9" tint="-0.249977111117893"/>
      <name val="Arial"/>
      <family val="2"/>
    </font>
    <font>
      <sz val="10"/>
      <color rgb="FF00B0F0"/>
      <name val="Arial"/>
      <family val="2"/>
    </font>
    <font>
      <i/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674EA7"/>
      <name val="Arial"/>
      <family val="2"/>
    </font>
    <font>
      <b/>
      <sz val="16"/>
      <color theme="1"/>
      <name val="Arial"/>
      <family val="2"/>
    </font>
    <font>
      <b/>
      <u/>
      <sz val="16"/>
      <color rgb="FF000000"/>
      <name val="Arial"/>
      <family val="2"/>
    </font>
    <font>
      <b/>
      <u/>
      <sz val="16"/>
      <color rgb="FFFF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22"/>
      <color rgb="FFFF0000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9"/>
      <color theme="7" tint="-0.499984740745262"/>
      <name val="Arial"/>
      <family val="2"/>
    </font>
    <font>
      <b/>
      <sz val="9"/>
      <color theme="9" tint="-0.249977111117893"/>
      <name val="Arial"/>
      <family val="2"/>
    </font>
    <font>
      <b/>
      <sz val="9"/>
      <color theme="9" tint="-0.249977111117893"/>
      <name val="Calibri"/>
      <family val="2"/>
    </font>
    <font>
      <b/>
      <sz val="9"/>
      <color rgb="FFFF0000"/>
      <name val="Calibri"/>
      <family val="2"/>
    </font>
    <font>
      <b/>
      <sz val="10"/>
      <name val="Arial"/>
      <family val="2"/>
      <scheme val="minor"/>
    </font>
    <font>
      <b/>
      <sz val="20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FF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9"/>
      <name val="Arial"/>
      <family val="2"/>
    </font>
    <font>
      <b/>
      <sz val="10"/>
      <color theme="4"/>
      <name val="Arial"/>
      <family val="2"/>
    </font>
    <font>
      <sz val="10"/>
      <color theme="4"/>
      <name val="Arial"/>
      <family val="2"/>
    </font>
    <font>
      <b/>
      <sz val="10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sz val="16"/>
      <color theme="1"/>
      <name val="Arial"/>
      <family val="2"/>
    </font>
    <font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rgb="FFDBE5F1"/>
        <bgColor rgb="FFDBE5F1"/>
      </patternFill>
    </fill>
    <fill>
      <patternFill patternType="solid">
        <fgColor rgb="FF00FFFF"/>
        <bgColor rgb="FF00FFFF"/>
      </patternFill>
    </fill>
    <fill>
      <patternFill patternType="solid">
        <fgColor rgb="FFFDE9D9"/>
        <bgColor rgb="FFFDE9D9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A5A5A5"/>
        <b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79998168889431442"/>
        <bgColor rgb="FFDAEEF3"/>
      </patternFill>
    </fill>
    <fill>
      <patternFill patternType="solid">
        <fgColor rgb="FF00B050"/>
        <bgColor rgb="FFD9EAD3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rgb="FFDBE5F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FDE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rgb="FF00B050"/>
        <bgColor rgb="FF00B05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BE5F1"/>
      </patternFill>
    </fill>
    <fill>
      <patternFill patternType="solid">
        <fgColor theme="5" tint="0.59999389629810485"/>
        <bgColor rgb="FFFDE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DE9D9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49" fillId="0" borderId="0"/>
    <xf numFmtId="0" fontId="1" fillId="0" borderId="0"/>
  </cellStyleXfs>
  <cellXfs count="372">
    <xf numFmtId="0" fontId="0" fillId="0" borderId="0" xfId="0"/>
    <xf numFmtId="0" fontId="3" fillId="0" borderId="0" xfId="0" applyFont="1" applyAlignment="1">
      <alignment vertical="center"/>
    </xf>
    <xf numFmtId="21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21" fontId="7" fillId="2" borderId="1" xfId="0" applyNumberFormat="1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21" fontId="13" fillId="2" borderId="1" xfId="0" applyNumberFormat="1" applyFont="1" applyFill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21" fontId="3" fillId="5" borderId="1" xfId="0" applyNumberFormat="1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21" fontId="3" fillId="6" borderId="1" xfId="0" applyNumberFormat="1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3" fillId="9" borderId="1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/>
    </xf>
    <xf numFmtId="0" fontId="3" fillId="9" borderId="6" xfId="0" applyFont="1" applyFill="1" applyBorder="1" applyAlignment="1">
      <alignment vertical="center"/>
    </xf>
    <xf numFmtId="21" fontId="3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21" fontId="23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28" fillId="6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 wrapText="1"/>
    </xf>
    <xf numFmtId="0" fontId="29" fillId="6" borderId="5" xfId="0" applyFont="1" applyFill="1" applyBorder="1" applyAlignment="1">
      <alignment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left" vertical="center" wrapText="1"/>
    </xf>
    <xf numFmtId="0" fontId="35" fillId="8" borderId="1" xfId="0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21" fontId="3" fillId="0" borderId="7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28" fillId="0" borderId="7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3" fillId="6" borderId="4" xfId="0" applyFont="1" applyFill="1" applyBorder="1" applyAlignment="1">
      <alignment vertical="center"/>
    </xf>
    <xf numFmtId="0" fontId="26" fillId="6" borderId="7" xfId="0" applyFont="1" applyFill="1" applyBorder="1" applyAlignment="1">
      <alignment vertical="center"/>
    </xf>
    <xf numFmtId="0" fontId="11" fillId="6" borderId="7" xfId="0" applyFont="1" applyFill="1" applyBorder="1" applyAlignment="1">
      <alignment vertical="center" wrapText="1"/>
    </xf>
    <xf numFmtId="0" fontId="27" fillId="6" borderId="7" xfId="0" applyFont="1" applyFill="1" applyBorder="1" applyAlignment="1">
      <alignment vertical="center"/>
    </xf>
    <xf numFmtId="0" fontId="27" fillId="6" borderId="7" xfId="0" applyFont="1" applyFill="1" applyBorder="1" applyAlignment="1">
      <alignment horizontal="right"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11" fillId="3" borderId="7" xfId="0" applyFont="1" applyFill="1" applyBorder="1" applyAlignment="1">
      <alignment vertical="center" wrapText="1"/>
    </xf>
    <xf numFmtId="21" fontId="3" fillId="3" borderId="7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vertical="center"/>
    </xf>
    <xf numFmtId="0" fontId="26" fillId="5" borderId="4" xfId="0" applyFont="1" applyFill="1" applyBorder="1" applyAlignment="1">
      <alignment vertical="center"/>
    </xf>
    <xf numFmtId="0" fontId="37" fillId="5" borderId="4" xfId="0" applyFont="1" applyFill="1" applyBorder="1" applyAlignment="1">
      <alignment vertical="center"/>
    </xf>
    <xf numFmtId="0" fontId="30" fillId="9" borderId="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/>
    </xf>
    <xf numFmtId="0" fontId="37" fillId="5" borderId="7" xfId="0" applyFont="1" applyFill="1" applyBorder="1" applyAlignment="1">
      <alignment vertical="center"/>
    </xf>
    <xf numFmtId="0" fontId="30" fillId="5" borderId="7" xfId="0" applyFont="1" applyFill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28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4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3" fillId="11" borderId="1" xfId="0" applyFont="1" applyFill="1" applyBorder="1" applyAlignment="1">
      <alignment vertical="center" wrapText="1"/>
    </xf>
    <xf numFmtId="0" fontId="36" fillId="11" borderId="1" xfId="0" applyFont="1" applyFill="1" applyBorder="1" applyAlignment="1">
      <alignment vertical="center" wrapText="1"/>
    </xf>
    <xf numFmtId="0" fontId="20" fillId="13" borderId="1" xfId="0" applyFont="1" applyFill="1" applyBorder="1" applyAlignment="1">
      <alignment horizontal="left" vertical="center"/>
    </xf>
    <xf numFmtId="0" fontId="38" fillId="11" borderId="1" xfId="0" applyFont="1" applyFill="1" applyBorder="1" applyAlignment="1">
      <alignment vertical="center" wrapText="1"/>
    </xf>
    <xf numFmtId="0" fontId="38" fillId="6" borderId="5" xfId="0" applyFont="1" applyFill="1" applyBorder="1" applyAlignment="1">
      <alignment vertical="center" wrapText="1"/>
    </xf>
    <xf numFmtId="0" fontId="38" fillId="6" borderId="1" xfId="0" applyFont="1" applyFill="1" applyBorder="1" applyAlignment="1">
      <alignment vertical="center" wrapText="1"/>
    </xf>
    <xf numFmtId="0" fontId="38" fillId="12" borderId="1" xfId="0" applyFont="1" applyFill="1" applyBorder="1" applyAlignment="1">
      <alignment vertical="center" wrapText="1"/>
    </xf>
    <xf numFmtId="0" fontId="38" fillId="4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39" fillId="14" borderId="8" xfId="1" applyFont="1" applyFill="1" applyBorder="1" applyAlignment="1">
      <alignment horizontal="center" vertical="center" wrapText="1"/>
    </xf>
    <xf numFmtId="0" fontId="39" fillId="15" borderId="8" xfId="1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vertical="center"/>
    </xf>
    <xf numFmtId="0" fontId="28" fillId="0" borderId="7" xfId="0" applyFont="1" applyBorder="1" applyAlignment="1">
      <alignment vertical="center" wrapText="1"/>
    </xf>
    <xf numFmtId="0" fontId="28" fillId="5" borderId="1" xfId="0" applyFont="1" applyFill="1" applyBorder="1" applyAlignment="1">
      <alignment vertical="center"/>
    </xf>
    <xf numFmtId="0" fontId="41" fillId="11" borderId="1" xfId="0" applyFont="1" applyFill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28" fillId="11" borderId="1" xfId="0" applyFont="1" applyFill="1" applyBorder="1" applyAlignment="1">
      <alignment vertical="center"/>
    </xf>
    <xf numFmtId="0" fontId="36" fillId="18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vertical="center" wrapText="1"/>
    </xf>
    <xf numFmtId="0" fontId="38" fillId="16" borderId="1" xfId="0" applyFont="1" applyFill="1" applyBorder="1" applyAlignment="1">
      <alignment vertical="center" wrapText="1"/>
    </xf>
    <xf numFmtId="0" fontId="3" fillId="19" borderId="1" xfId="0" applyFont="1" applyFill="1" applyBorder="1" applyAlignment="1">
      <alignment vertical="center" wrapText="1"/>
    </xf>
    <xf numFmtId="0" fontId="38" fillId="19" borderId="1" xfId="0" applyFont="1" applyFill="1" applyBorder="1" applyAlignment="1">
      <alignment vertical="center" wrapText="1"/>
    </xf>
    <xf numFmtId="0" fontId="28" fillId="6" borderId="1" xfId="0" applyFont="1" applyFill="1" applyBorder="1" applyAlignment="1">
      <alignment vertical="center"/>
    </xf>
    <xf numFmtId="0" fontId="28" fillId="19" borderId="1" xfId="0" applyFont="1" applyFill="1" applyBorder="1" applyAlignment="1">
      <alignment vertical="center"/>
    </xf>
    <xf numFmtId="0" fontId="42" fillId="6" borderId="1" xfId="0" applyFont="1" applyFill="1" applyBorder="1" applyAlignment="1">
      <alignment horizontal="left" vertical="center" wrapText="1"/>
    </xf>
    <xf numFmtId="0" fontId="44" fillId="0" borderId="0" xfId="1" applyFont="1"/>
    <xf numFmtId="0" fontId="44" fillId="0" borderId="0" xfId="1" applyFont="1" applyAlignment="1">
      <alignment vertical="center"/>
    </xf>
    <xf numFmtId="0" fontId="45" fillId="0" borderId="8" xfId="1" applyFont="1" applyBorder="1" applyAlignment="1">
      <alignment vertical="center" wrapText="1"/>
    </xf>
    <xf numFmtId="0" fontId="44" fillId="0" borderId="8" xfId="1" applyFont="1" applyBorder="1"/>
    <xf numFmtId="0" fontId="44" fillId="0" borderId="8" xfId="1" applyFont="1" applyBorder="1" applyAlignment="1">
      <alignment vertical="center"/>
    </xf>
    <xf numFmtId="0" fontId="44" fillId="0" borderId="0" xfId="1" applyFont="1" applyAlignment="1">
      <alignment wrapText="1"/>
    </xf>
    <xf numFmtId="0" fontId="44" fillId="0" borderId="8" xfId="1" applyFont="1" applyBorder="1" applyAlignment="1">
      <alignment vertical="center" wrapText="1"/>
    </xf>
    <xf numFmtId="0" fontId="44" fillId="0" borderId="8" xfId="1" applyFont="1" applyBorder="1" applyAlignment="1">
      <alignment wrapText="1"/>
    </xf>
    <xf numFmtId="0" fontId="45" fillId="0" borderId="8" xfId="1" applyFont="1" applyBorder="1" applyAlignment="1">
      <alignment vertical="center"/>
    </xf>
    <xf numFmtId="0" fontId="47" fillId="0" borderId="8" xfId="1" applyFont="1" applyBorder="1" applyAlignment="1">
      <alignment vertical="center" wrapText="1"/>
    </xf>
    <xf numFmtId="0" fontId="44" fillId="20" borderId="8" xfId="1" applyFont="1" applyFill="1" applyBorder="1" applyAlignment="1">
      <alignment vertical="center" wrapText="1"/>
    </xf>
    <xf numFmtId="0" fontId="46" fillId="21" borderId="8" xfId="1" applyFont="1" applyFill="1" applyBorder="1" applyAlignment="1">
      <alignment vertical="center"/>
    </xf>
    <xf numFmtId="0" fontId="47" fillId="0" borderId="8" xfId="1" applyFont="1" applyBorder="1" applyAlignment="1">
      <alignment vertical="center"/>
    </xf>
    <xf numFmtId="0" fontId="45" fillId="21" borderId="8" xfId="1" applyFont="1" applyFill="1" applyBorder="1" applyAlignment="1">
      <alignment vertical="center"/>
    </xf>
    <xf numFmtId="0" fontId="46" fillId="22" borderId="8" xfId="1" applyFont="1" applyFill="1" applyBorder="1" applyAlignment="1">
      <alignment vertical="center"/>
    </xf>
    <xf numFmtId="0" fontId="44" fillId="14" borderId="8" xfId="1" applyFont="1" applyFill="1" applyBorder="1" applyAlignment="1">
      <alignment vertical="center"/>
    </xf>
    <xf numFmtId="0" fontId="39" fillId="23" borderId="8" xfId="1" applyFont="1" applyFill="1" applyBorder="1" applyAlignment="1">
      <alignment horizontal="center" vertical="center" wrapText="1"/>
    </xf>
    <xf numFmtId="0" fontId="39" fillId="24" borderId="8" xfId="1" applyFont="1" applyFill="1" applyBorder="1" applyAlignment="1">
      <alignment horizontal="center" vertical="center" wrapText="1"/>
    </xf>
    <xf numFmtId="0" fontId="39" fillId="25" borderId="8" xfId="1" applyFont="1" applyFill="1" applyBorder="1" applyAlignment="1">
      <alignment horizontal="center" vertical="center" wrapText="1"/>
    </xf>
    <xf numFmtId="0" fontId="39" fillId="26" borderId="8" xfId="1" applyFont="1" applyFill="1" applyBorder="1" applyAlignment="1">
      <alignment horizontal="center" vertical="center" wrapText="1"/>
    </xf>
    <xf numFmtId="0" fontId="48" fillId="10" borderId="8" xfId="1" applyFont="1" applyFill="1" applyBorder="1" applyAlignment="1">
      <alignment horizontal="center" vertical="center" wrapText="1"/>
    </xf>
    <xf numFmtId="0" fontId="46" fillId="0" borderId="0" xfId="1" applyFont="1" applyAlignment="1">
      <alignment vertical="center"/>
    </xf>
    <xf numFmtId="0" fontId="50" fillId="0" borderId="0" xfId="2" applyFont="1" applyAlignment="1">
      <alignment vertical="center"/>
    </xf>
    <xf numFmtId="0" fontId="50" fillId="0" borderId="0" xfId="2" applyFont="1" applyAlignment="1">
      <alignment horizontal="center" vertical="center"/>
    </xf>
    <xf numFmtId="0" fontId="49" fillId="0" borderId="0" xfId="2" applyAlignment="1">
      <alignment vertical="center"/>
    </xf>
    <xf numFmtId="0" fontId="50" fillId="0" borderId="10" xfId="2" applyFont="1" applyBorder="1" applyAlignment="1">
      <alignment horizontal="center" vertical="center"/>
    </xf>
    <xf numFmtId="0" fontId="40" fillId="0" borderId="0" xfId="2" applyFont="1" applyAlignment="1">
      <alignment horizontal="center" vertical="center" wrapText="1"/>
    </xf>
    <xf numFmtId="0" fontId="50" fillId="0" borderId="11" xfId="2" applyFont="1" applyBorder="1" applyAlignment="1">
      <alignment horizontal="center" vertical="center"/>
    </xf>
    <xf numFmtId="0" fontId="29" fillId="29" borderId="8" xfId="2" applyFont="1" applyFill="1" applyBorder="1" applyAlignment="1">
      <alignment vertical="center"/>
    </xf>
    <xf numFmtId="0" fontId="49" fillId="29" borderId="8" xfId="2" applyFill="1" applyBorder="1" applyAlignment="1">
      <alignment vertical="center"/>
    </xf>
    <xf numFmtId="21" fontId="29" fillId="29" borderId="8" xfId="2" applyNumberFormat="1" applyFont="1" applyFill="1" applyBorder="1" applyAlignment="1">
      <alignment horizontal="center" vertical="center" wrapText="1"/>
    </xf>
    <xf numFmtId="0" fontId="49" fillId="17" borderId="8" xfId="2" applyFill="1" applyBorder="1" applyAlignment="1">
      <alignment horizontal="center" vertical="center"/>
    </xf>
    <xf numFmtId="0" fontId="29" fillId="0" borderId="8" xfId="2" applyFont="1" applyBorder="1" applyAlignment="1">
      <alignment vertical="center"/>
    </xf>
    <xf numFmtId="0" fontId="54" fillId="0" borderId="8" xfId="2" applyFont="1" applyBorder="1" applyAlignment="1">
      <alignment vertical="center"/>
    </xf>
    <xf numFmtId="21" fontId="29" fillId="0" borderId="8" xfId="2" applyNumberFormat="1" applyFont="1" applyBorder="1" applyAlignment="1">
      <alignment horizontal="center" vertical="center" wrapText="1"/>
    </xf>
    <xf numFmtId="0" fontId="49" fillId="0" borderId="8" xfId="2" applyBorder="1" applyAlignment="1">
      <alignment horizontal="center" vertical="center"/>
    </xf>
    <xf numFmtId="0" fontId="50" fillId="0" borderId="8" xfId="2" applyFont="1" applyBorder="1" applyAlignment="1">
      <alignment horizontal="center" vertical="center"/>
    </xf>
    <xf numFmtId="0" fontId="29" fillId="0" borderId="8" xfId="2" applyFont="1" applyBorder="1" applyAlignment="1">
      <alignment horizontal="left" vertical="center"/>
    </xf>
    <xf numFmtId="0" fontId="56" fillId="0" borderId="8" xfId="2" applyFont="1" applyBorder="1" applyAlignment="1">
      <alignment vertical="center"/>
    </xf>
    <xf numFmtId="0" fontId="57" fillId="0" borderId="8" xfId="2" applyFont="1" applyBorder="1" applyAlignment="1">
      <alignment vertical="center"/>
    </xf>
    <xf numFmtId="0" fontId="31" fillId="0" borderId="8" xfId="2" applyFont="1" applyBorder="1" applyAlignment="1">
      <alignment horizontal="left" vertical="center"/>
    </xf>
    <xf numFmtId="0" fontId="49" fillId="0" borderId="0" xfId="2" applyAlignment="1">
      <alignment horizontal="center" vertical="center"/>
    </xf>
    <xf numFmtId="0" fontId="50" fillId="13" borderId="1" xfId="0" applyFont="1" applyFill="1" applyBorder="1" applyAlignment="1">
      <alignment vertical="center"/>
    </xf>
    <xf numFmtId="0" fontId="43" fillId="0" borderId="1" xfId="0" applyFont="1" applyBorder="1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0" fontId="56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left" vertical="center" wrapText="1"/>
    </xf>
    <xf numFmtId="0" fontId="56" fillId="11" borderId="1" xfId="0" applyFont="1" applyFill="1" applyBorder="1" applyAlignment="1">
      <alignment horizontal="left" vertical="center" wrapText="1"/>
    </xf>
    <xf numFmtId="0" fontId="29" fillId="7" borderId="1" xfId="0" applyFont="1" applyFill="1" applyBorder="1" applyAlignment="1">
      <alignment vertical="center" wrapText="1"/>
    </xf>
    <xf numFmtId="0" fontId="64" fillId="8" borderId="1" xfId="0" applyFont="1" applyFill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 wrapText="1"/>
    </xf>
    <xf numFmtId="0" fontId="60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49" fillId="0" borderId="0" xfId="0" applyFont="1"/>
    <xf numFmtId="0" fontId="66" fillId="0" borderId="0" xfId="2" applyFont="1" applyAlignment="1">
      <alignment vertical="center"/>
    </xf>
    <xf numFmtId="0" fontId="66" fillId="0" borderId="0" xfId="2" applyFont="1" applyAlignment="1">
      <alignment horizontal="center" vertical="center"/>
    </xf>
    <xf numFmtId="0" fontId="29" fillId="0" borderId="0" xfId="2" applyFont="1" applyAlignment="1">
      <alignment vertical="center"/>
    </xf>
    <xf numFmtId="0" fontId="53" fillId="27" borderId="0" xfId="2" applyFont="1" applyFill="1" applyAlignment="1">
      <alignment vertical="center"/>
    </xf>
    <xf numFmtId="0" fontId="53" fillId="28" borderId="0" xfId="2" applyFont="1" applyFill="1" applyAlignment="1">
      <alignment horizontal="left" vertical="center"/>
    </xf>
    <xf numFmtId="0" fontId="50" fillId="21" borderId="0" xfId="2" applyFont="1" applyFill="1" applyAlignment="1">
      <alignment vertical="center"/>
    </xf>
    <xf numFmtId="0" fontId="59" fillId="0" borderId="0" xfId="2" applyFont="1" applyAlignment="1">
      <alignment vertical="center"/>
    </xf>
    <xf numFmtId="0" fontId="69" fillId="0" borderId="0" xfId="2" applyFont="1" applyAlignment="1">
      <alignment horizontal="center" vertical="center"/>
    </xf>
    <xf numFmtId="0" fontId="31" fillId="0" borderId="10" xfId="2" applyFont="1" applyBorder="1" applyAlignment="1">
      <alignment vertical="center"/>
    </xf>
    <xf numFmtId="0" fontId="70" fillId="0" borderId="8" xfId="2" applyFont="1" applyBorder="1" applyAlignment="1">
      <alignment vertical="center" wrapText="1"/>
    </xf>
    <xf numFmtId="0" fontId="70" fillId="0" borderId="8" xfId="2" applyFont="1" applyBorder="1" applyAlignment="1">
      <alignment horizontal="left" vertical="center" wrapText="1"/>
    </xf>
    <xf numFmtId="0" fontId="50" fillId="0" borderId="0" xfId="2" applyFont="1" applyAlignment="1">
      <alignment vertical="center" wrapText="1"/>
    </xf>
    <xf numFmtId="0" fontId="49" fillId="0" borderId="0" xfId="2" applyAlignment="1">
      <alignment vertical="center" wrapText="1"/>
    </xf>
    <xf numFmtId="0" fontId="69" fillId="0" borderId="8" xfId="2" applyFont="1" applyBorder="1" applyAlignment="1">
      <alignment horizontal="center" vertical="center"/>
    </xf>
    <xf numFmtId="0" fontId="59" fillId="0" borderId="8" xfId="2" applyFont="1" applyBorder="1" applyAlignment="1">
      <alignment vertical="center"/>
    </xf>
    <xf numFmtId="0" fontId="50" fillId="0" borderId="8" xfId="2" applyFont="1" applyBorder="1" applyAlignment="1">
      <alignment vertical="center"/>
    </xf>
    <xf numFmtId="0" fontId="59" fillId="0" borderId="8" xfId="2" applyFont="1" applyBorder="1" applyAlignment="1">
      <alignment horizontal="left" vertical="center"/>
    </xf>
    <xf numFmtId="0" fontId="59" fillId="31" borderId="8" xfId="2" applyFont="1" applyFill="1" applyBorder="1" applyAlignment="1">
      <alignment horizontal="left" vertical="center"/>
    </xf>
    <xf numFmtId="0" fontId="58" fillId="0" borderId="8" xfId="2" applyFont="1" applyBorder="1" applyAlignment="1">
      <alignment horizontal="left" vertical="center"/>
    </xf>
    <xf numFmtId="0" fontId="57" fillId="0" borderId="8" xfId="2" applyFont="1" applyBorder="1" applyAlignment="1">
      <alignment horizontal="left" vertical="center"/>
    </xf>
    <xf numFmtId="0" fontId="56" fillId="0" borderId="8" xfId="2" applyFont="1" applyBorder="1" applyAlignment="1">
      <alignment horizontal="left" vertical="center"/>
    </xf>
    <xf numFmtId="0" fontId="49" fillId="0" borderId="8" xfId="2" applyBorder="1" applyAlignment="1">
      <alignment vertical="center"/>
    </xf>
    <xf numFmtId="0" fontId="50" fillId="0" borderId="10" xfId="2" applyFont="1" applyBorder="1" applyAlignment="1">
      <alignment vertical="center"/>
    </xf>
    <xf numFmtId="0" fontId="50" fillId="0" borderId="9" xfId="2" applyFont="1" applyBorder="1" applyAlignment="1">
      <alignment vertical="center"/>
    </xf>
    <xf numFmtId="0" fontId="69" fillId="0" borderId="12" xfId="2" applyFont="1" applyBorder="1" applyAlignment="1">
      <alignment horizontal="center" vertical="center"/>
    </xf>
    <xf numFmtId="0" fontId="50" fillId="0" borderId="13" xfId="2" applyFont="1" applyBorder="1" applyAlignment="1">
      <alignment vertical="center"/>
    </xf>
    <xf numFmtId="0" fontId="50" fillId="0" borderId="14" xfId="2" applyFont="1" applyBorder="1" applyAlignment="1">
      <alignment vertical="center"/>
    </xf>
    <xf numFmtId="0" fontId="53" fillId="28" borderId="15" xfId="2" applyFont="1" applyFill="1" applyBorder="1" applyAlignment="1">
      <alignment horizontal="left" vertical="center"/>
    </xf>
    <xf numFmtId="0" fontId="59" fillId="0" borderId="14" xfId="2" applyFont="1" applyBorder="1" applyAlignment="1">
      <alignment vertical="center"/>
    </xf>
    <xf numFmtId="0" fontId="50" fillId="0" borderId="11" xfId="2" applyFont="1" applyBorder="1" applyAlignment="1">
      <alignment vertical="center"/>
    </xf>
    <xf numFmtId="0" fontId="29" fillId="0" borderId="0" xfId="2" applyFont="1" applyAlignment="1">
      <alignment horizontal="left" vertical="center"/>
    </xf>
    <xf numFmtId="0" fontId="54" fillId="0" borderId="0" xfId="2" applyFont="1" applyAlignment="1">
      <alignment vertical="center"/>
    </xf>
    <xf numFmtId="0" fontId="55" fillId="0" borderId="8" xfId="2" applyFont="1" applyBorder="1" applyAlignment="1">
      <alignment vertical="center"/>
    </xf>
    <xf numFmtId="0" fontId="50" fillId="0" borderId="8" xfId="2" applyFont="1" applyBorder="1" applyAlignment="1">
      <alignment horizontal="left" vertical="center"/>
    </xf>
    <xf numFmtId="0" fontId="50" fillId="0" borderId="10" xfId="2" applyFont="1" applyBorder="1" applyAlignment="1">
      <alignment horizontal="left" vertical="center"/>
    </xf>
    <xf numFmtId="0" fontId="59" fillId="0" borderId="18" xfId="2" applyFont="1" applyBorder="1" applyAlignment="1">
      <alignment horizontal="left" vertical="center"/>
    </xf>
    <xf numFmtId="0" fontId="55" fillId="0" borderId="0" xfId="2" applyFont="1" applyAlignment="1">
      <alignment vertical="center"/>
    </xf>
    <xf numFmtId="0" fontId="42" fillId="0" borderId="8" xfId="2" applyFont="1" applyBorder="1" applyAlignment="1">
      <alignment horizontal="center" vertical="center"/>
    </xf>
    <xf numFmtId="0" fontId="42" fillId="0" borderId="8" xfId="2" applyFont="1" applyBorder="1" applyAlignment="1">
      <alignment vertical="center"/>
    </xf>
    <xf numFmtId="0" fontId="28" fillId="5" borderId="4" xfId="0" applyFont="1" applyFill="1" applyBorder="1" applyAlignment="1">
      <alignment vertical="center" wrapText="1"/>
    </xf>
    <xf numFmtId="0" fontId="28" fillId="5" borderId="5" xfId="0" applyFont="1" applyFill="1" applyBorder="1" applyAlignment="1">
      <alignment vertical="center" wrapText="1"/>
    </xf>
    <xf numFmtId="21" fontId="28" fillId="6" borderId="1" xfId="0" applyNumberFormat="1" applyFont="1" applyFill="1" applyBorder="1" applyAlignment="1">
      <alignment vertical="center" wrapText="1"/>
    </xf>
    <xf numFmtId="20" fontId="26" fillId="6" borderId="7" xfId="0" applyNumberFormat="1" applyFont="1" applyFill="1" applyBorder="1" applyAlignment="1">
      <alignment vertical="center" wrapText="1"/>
    </xf>
    <xf numFmtId="0" fontId="31" fillId="7" borderId="1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vertical="center" wrapText="1"/>
    </xf>
    <xf numFmtId="0" fontId="42" fillId="34" borderId="1" xfId="0" applyFont="1" applyFill="1" applyBorder="1" applyAlignment="1">
      <alignment horizontal="left" vertical="center" wrapText="1"/>
    </xf>
    <xf numFmtId="0" fontId="42" fillId="35" borderId="1" xfId="0" applyFont="1" applyFill="1" applyBorder="1" applyAlignment="1">
      <alignment horizontal="left" vertical="center" wrapText="1"/>
    </xf>
    <xf numFmtId="0" fontId="42" fillId="34" borderId="1" xfId="0" applyFont="1" applyFill="1" applyBorder="1" applyAlignment="1">
      <alignment vertical="center" wrapText="1"/>
    </xf>
    <xf numFmtId="0" fontId="42" fillId="33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vertical="center" wrapText="1"/>
    </xf>
    <xf numFmtId="0" fontId="31" fillId="6" borderId="5" xfId="0" applyFont="1" applyFill="1" applyBorder="1" applyAlignment="1">
      <alignment vertical="center" wrapText="1"/>
    </xf>
    <xf numFmtId="0" fontId="75" fillId="5" borderId="4" xfId="0" applyFont="1" applyFill="1" applyBorder="1" applyAlignment="1">
      <alignment vertical="center"/>
    </xf>
    <xf numFmtId="0" fontId="76" fillId="0" borderId="7" xfId="0" applyFont="1" applyBorder="1" applyAlignment="1">
      <alignment vertical="center"/>
    </xf>
    <xf numFmtId="21" fontId="28" fillId="0" borderId="7" xfId="0" applyNumberFormat="1" applyFont="1" applyBorder="1" applyAlignment="1">
      <alignment vertical="center" wrapText="1"/>
    </xf>
    <xf numFmtId="0" fontId="28" fillId="19" borderId="1" xfId="0" applyFont="1" applyFill="1" applyBorder="1" applyAlignment="1">
      <alignment vertical="center" wrapText="1"/>
    </xf>
    <xf numFmtId="21" fontId="29" fillId="21" borderId="8" xfId="2" applyNumberFormat="1" applyFont="1" applyFill="1" applyBorder="1" applyAlignment="1">
      <alignment horizontal="center" vertical="center" wrapText="1"/>
    </xf>
    <xf numFmtId="0" fontId="44" fillId="0" borderId="8" xfId="3" applyFont="1" applyBorder="1" applyAlignment="1">
      <alignment vertical="center"/>
    </xf>
    <xf numFmtId="0" fontId="45" fillId="0" borderId="8" xfId="3" applyFont="1" applyBorder="1" applyAlignment="1">
      <alignment vertical="center"/>
    </xf>
    <xf numFmtId="0" fontId="45" fillId="0" borderId="16" xfId="3" applyFont="1" applyBorder="1" applyAlignment="1">
      <alignment vertical="center" wrapText="1"/>
    </xf>
    <xf numFmtId="0" fontId="53" fillId="0" borderId="8" xfId="2" applyFont="1" applyBorder="1" applyAlignment="1">
      <alignment vertical="center"/>
    </xf>
    <xf numFmtId="0" fontId="45" fillId="0" borderId="17" xfId="3" applyFont="1" applyBorder="1" applyAlignment="1">
      <alignment vertical="center"/>
    </xf>
    <xf numFmtId="0" fontId="45" fillId="0" borderId="19" xfId="3" applyFont="1" applyBorder="1" applyAlignment="1">
      <alignment vertical="center"/>
    </xf>
    <xf numFmtId="0" fontId="45" fillId="0" borderId="16" xfId="3" applyFont="1" applyBorder="1" applyAlignment="1">
      <alignment vertical="center"/>
    </xf>
    <xf numFmtId="0" fontId="49" fillId="0" borderId="14" xfId="2" applyBorder="1" applyAlignment="1">
      <alignment vertical="center"/>
    </xf>
    <xf numFmtId="0" fontId="44" fillId="0" borderId="13" xfId="3" applyFont="1" applyBorder="1" applyAlignment="1">
      <alignment vertical="center"/>
    </xf>
    <xf numFmtId="0" fontId="45" fillId="0" borderId="17" xfId="3" applyFont="1" applyBorder="1" applyAlignment="1">
      <alignment vertical="center" wrapText="1"/>
    </xf>
    <xf numFmtId="0" fontId="44" fillId="0" borderId="14" xfId="3" applyFont="1" applyBorder="1" applyAlignment="1">
      <alignment vertical="center"/>
    </xf>
    <xf numFmtId="0" fontId="44" fillId="0" borderId="9" xfId="3" applyFont="1" applyBorder="1" applyAlignment="1">
      <alignment vertical="center"/>
    </xf>
    <xf numFmtId="0" fontId="44" fillId="0" borderId="8" xfId="3" applyFont="1" applyBorder="1"/>
    <xf numFmtId="0" fontId="44" fillId="0" borderId="14" xfId="3" applyFont="1" applyBorder="1"/>
    <xf numFmtId="0" fontId="44" fillId="0" borderId="9" xfId="3" applyFont="1" applyBorder="1"/>
    <xf numFmtId="0" fontId="46" fillId="21" borderId="8" xfId="3" applyFont="1" applyFill="1" applyBorder="1" applyAlignment="1">
      <alignment vertical="center"/>
    </xf>
    <xf numFmtId="0" fontId="45" fillId="28" borderId="8" xfId="3" applyFont="1" applyFill="1" applyBorder="1" applyAlignment="1">
      <alignment vertical="center"/>
    </xf>
    <xf numFmtId="0" fontId="46" fillId="22" borderId="8" xfId="3" applyFont="1" applyFill="1" applyBorder="1" applyAlignment="1">
      <alignment vertical="center"/>
    </xf>
    <xf numFmtId="0" fontId="47" fillId="0" borderId="8" xfId="3" applyFont="1" applyBorder="1" applyAlignment="1">
      <alignment vertical="center"/>
    </xf>
    <xf numFmtId="0" fontId="45" fillId="21" borderId="8" xfId="3" applyFont="1" applyFill="1" applyBorder="1" applyAlignment="1">
      <alignment vertical="center"/>
    </xf>
    <xf numFmtId="0" fontId="60" fillId="0" borderId="14" xfId="2" applyFont="1" applyBorder="1" applyAlignment="1">
      <alignment horizontal="center" vertical="center" wrapText="1"/>
    </xf>
    <xf numFmtId="0" fontId="60" fillId="0" borderId="20" xfId="2" applyFont="1" applyBorder="1" applyAlignment="1">
      <alignment horizontal="center" vertical="center" wrapText="1"/>
    </xf>
    <xf numFmtId="0" fontId="65" fillId="0" borderId="1" xfId="2" applyFont="1" applyBorder="1" applyAlignment="1">
      <alignment horizontal="left" vertical="center" wrapText="1"/>
    </xf>
    <xf numFmtId="0" fontId="43" fillId="0" borderId="1" xfId="2" applyFont="1" applyBorder="1" applyAlignment="1">
      <alignment horizontal="left" vertical="center" wrapText="1"/>
    </xf>
    <xf numFmtId="0" fontId="56" fillId="0" borderId="1" xfId="2" applyFont="1" applyBorder="1" applyAlignment="1">
      <alignment horizontal="left" vertical="center" wrapText="1"/>
    </xf>
    <xf numFmtId="0" fontId="60" fillId="0" borderId="1" xfId="2" applyFont="1" applyBorder="1" applyAlignment="1">
      <alignment vertical="center" wrapText="1"/>
    </xf>
    <xf numFmtId="0" fontId="64" fillId="8" borderId="1" xfId="2" applyFont="1" applyFill="1" applyBorder="1" applyAlignment="1">
      <alignment horizontal="left" vertical="center" wrapText="1"/>
    </xf>
    <xf numFmtId="0" fontId="29" fillId="7" borderId="1" xfId="2" applyFont="1" applyFill="1" applyBorder="1" applyAlignment="1">
      <alignment vertical="center" wrapText="1"/>
    </xf>
    <xf numFmtId="0" fontId="72" fillId="0" borderId="0" xfId="2" applyFont="1" applyAlignment="1">
      <alignment horizontal="left" vertical="center"/>
    </xf>
    <xf numFmtId="0" fontId="50" fillId="0" borderId="0" xfId="2" quotePrefix="1" applyFont="1" applyAlignment="1">
      <alignment vertical="center"/>
    </xf>
    <xf numFmtId="0" fontId="59" fillId="32" borderId="8" xfId="2" applyFont="1" applyFill="1" applyBorder="1" applyAlignment="1">
      <alignment vertical="center"/>
    </xf>
    <xf numFmtId="0" fontId="61" fillId="0" borderId="1" xfId="2" applyFont="1" applyBorder="1" applyAlignment="1">
      <alignment horizontal="left" vertical="center" wrapText="1"/>
    </xf>
    <xf numFmtId="0" fontId="28" fillId="5" borderId="1" xfId="2" applyFont="1" applyFill="1" applyBorder="1" applyAlignment="1">
      <alignment vertical="center"/>
    </xf>
    <xf numFmtId="0" fontId="43" fillId="0" borderId="1" xfId="2" applyFont="1" applyBorder="1" applyAlignment="1">
      <alignment vertical="center" wrapText="1"/>
    </xf>
    <xf numFmtId="0" fontId="50" fillId="13" borderId="1" xfId="2" applyFont="1" applyFill="1" applyBorder="1" applyAlignment="1">
      <alignment vertical="center"/>
    </xf>
    <xf numFmtId="21" fontId="28" fillId="36" borderId="1" xfId="0" applyNumberFormat="1" applyFont="1" applyFill="1" applyBorder="1" applyAlignment="1">
      <alignment vertical="center" wrapText="1"/>
    </xf>
    <xf numFmtId="0" fontId="18" fillId="19" borderId="1" xfId="0" applyFont="1" applyFill="1" applyBorder="1" applyAlignment="1">
      <alignment horizontal="left" vertical="center" wrapText="1"/>
    </xf>
    <xf numFmtId="21" fontId="28" fillId="21" borderId="1" xfId="0" applyNumberFormat="1" applyFont="1" applyFill="1" applyBorder="1" applyAlignment="1">
      <alignment vertical="center" wrapText="1"/>
    </xf>
    <xf numFmtId="21" fontId="3" fillId="37" borderId="1" xfId="0" applyNumberFormat="1" applyFont="1" applyFill="1" applyBorder="1" applyAlignment="1">
      <alignment vertical="center" wrapText="1"/>
    </xf>
    <xf numFmtId="21" fontId="28" fillId="37" borderId="1" xfId="0" applyNumberFormat="1" applyFont="1" applyFill="1" applyBorder="1" applyAlignment="1">
      <alignment vertical="center" wrapText="1"/>
    </xf>
    <xf numFmtId="0" fontId="50" fillId="0" borderId="0" xfId="0" applyFont="1" applyAlignment="1">
      <alignment vertical="center"/>
    </xf>
    <xf numFmtId="0" fontId="50" fillId="0" borderId="0" xfId="0" applyFont="1" applyAlignment="1">
      <alignment vertical="center" wrapText="1"/>
    </xf>
    <xf numFmtId="0" fontId="79" fillId="0" borderId="0" xfId="0" applyFont="1" applyAlignment="1">
      <alignment vertical="center"/>
    </xf>
    <xf numFmtId="0" fontId="50" fillId="22" borderId="0" xfId="0" applyFont="1" applyFill="1" applyAlignment="1">
      <alignment vertical="center"/>
    </xf>
    <xf numFmtId="0" fontId="59" fillId="22" borderId="0" xfId="0" applyFont="1" applyFill="1" applyAlignment="1">
      <alignment vertical="center"/>
    </xf>
    <xf numFmtId="0" fontId="59" fillId="22" borderId="0" xfId="0" applyFont="1" applyFill="1" applyAlignment="1">
      <alignment horizontal="left" vertical="center"/>
    </xf>
    <xf numFmtId="0" fontId="29" fillId="22" borderId="0" xfId="0" applyFont="1" applyFill="1" applyAlignment="1">
      <alignment vertical="center"/>
    </xf>
    <xf numFmtId="0" fontId="29" fillId="22" borderId="0" xfId="0" applyFont="1" applyFill="1" applyAlignment="1">
      <alignment horizontal="left" vertical="center"/>
    </xf>
    <xf numFmtId="0" fontId="29" fillId="0" borderId="8" xfId="0" applyFont="1" applyBorder="1" applyAlignment="1">
      <alignment horizontal="center" vertical="center"/>
    </xf>
    <xf numFmtId="0" fontId="53" fillId="22" borderId="0" xfId="2" applyFont="1" applyFill="1" applyAlignment="1">
      <alignment vertical="center"/>
    </xf>
    <xf numFmtId="0" fontId="70" fillId="0" borderId="14" xfId="2" applyFont="1" applyBorder="1" applyAlignment="1">
      <alignment horizontal="center" vertical="center" wrapText="1"/>
    </xf>
    <xf numFmtId="0" fontId="80" fillId="21" borderId="0" xfId="0" applyFont="1" applyFill="1" applyAlignment="1">
      <alignment vertical="center"/>
    </xf>
    <xf numFmtId="0" fontId="31" fillId="0" borderId="8" xfId="2" applyFont="1" applyBorder="1" applyAlignment="1">
      <alignment vertical="center"/>
    </xf>
    <xf numFmtId="0" fontId="29" fillId="0" borderId="9" xfId="2" applyFont="1" applyBorder="1" applyAlignment="1">
      <alignment vertical="center"/>
    </xf>
    <xf numFmtId="0" fontId="70" fillId="0" borderId="9" xfId="2" applyFont="1" applyBorder="1" applyAlignment="1">
      <alignment vertical="center" wrapText="1"/>
    </xf>
    <xf numFmtId="0" fontId="71" fillId="0" borderId="9" xfId="2" applyFont="1" applyBorder="1" applyAlignment="1">
      <alignment vertical="center"/>
    </xf>
    <xf numFmtId="0" fontId="50" fillId="0" borderId="9" xfId="2" applyFont="1" applyBorder="1" applyAlignment="1">
      <alignment horizontal="center" vertical="center"/>
    </xf>
    <xf numFmtId="0" fontId="50" fillId="0" borderId="14" xfId="2" applyFont="1" applyBorder="1" applyAlignment="1">
      <alignment horizontal="center" vertical="center"/>
    </xf>
    <xf numFmtId="0" fontId="29" fillId="0" borderId="23" xfId="2" applyFont="1" applyBorder="1" applyAlignment="1">
      <alignment vertical="center"/>
    </xf>
    <xf numFmtId="0" fontId="50" fillId="0" borderId="25" xfId="2" applyFont="1" applyBorder="1" applyAlignment="1">
      <alignment horizontal="center" vertical="center"/>
    </xf>
    <xf numFmtId="0" fontId="50" fillId="0" borderId="26" xfId="2" applyFont="1" applyBorder="1" applyAlignment="1">
      <alignment horizontal="center" vertical="center"/>
    </xf>
    <xf numFmtId="0" fontId="29" fillId="0" borderId="29" xfId="2" applyFont="1" applyBorder="1" applyAlignment="1">
      <alignment horizontal="left" vertical="center"/>
    </xf>
    <xf numFmtId="0" fontId="56" fillId="0" borderId="29" xfId="2" applyFont="1" applyBorder="1" applyAlignment="1">
      <alignment horizontal="left" vertical="center"/>
    </xf>
    <xf numFmtId="0" fontId="69" fillId="0" borderId="26" xfId="2" applyFont="1" applyBorder="1" applyAlignment="1">
      <alignment horizontal="center" vertical="center"/>
    </xf>
    <xf numFmtId="0" fontId="50" fillId="0" borderId="29" xfId="2" applyFont="1" applyBorder="1" applyAlignment="1">
      <alignment vertical="center"/>
    </xf>
    <xf numFmtId="0" fontId="29" fillId="0" borderId="0" xfId="2" applyFont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29" fillId="0" borderId="22" xfId="2" applyFont="1" applyBorder="1" applyAlignment="1">
      <alignment horizontal="center" vertical="center"/>
    </xf>
    <xf numFmtId="0" fontId="70" fillId="0" borderId="25" xfId="2" applyFont="1" applyBorder="1" applyAlignment="1">
      <alignment horizontal="center" vertical="center" wrapText="1"/>
    </xf>
    <xf numFmtId="0" fontId="81" fillId="0" borderId="21" xfId="2" applyFont="1" applyBorder="1" applyAlignment="1">
      <alignment horizontal="center" vertical="center"/>
    </xf>
    <xf numFmtId="0" fontId="53" fillId="0" borderId="25" xfId="2" applyFont="1" applyBorder="1" applyAlignment="1">
      <alignment horizontal="center" vertical="center"/>
    </xf>
    <xf numFmtId="0" fontId="31" fillId="0" borderId="25" xfId="2" applyFont="1" applyBorder="1" applyAlignment="1">
      <alignment horizontal="center" vertical="center"/>
    </xf>
    <xf numFmtId="0" fontId="29" fillId="0" borderId="25" xfId="2" applyFont="1" applyBorder="1" applyAlignment="1">
      <alignment horizontal="center" vertical="center"/>
    </xf>
    <xf numFmtId="0" fontId="29" fillId="0" borderId="28" xfId="2" applyFont="1" applyBorder="1" applyAlignment="1">
      <alignment horizontal="center" vertical="center"/>
    </xf>
    <xf numFmtId="0" fontId="29" fillId="0" borderId="8" xfId="2" applyFont="1" applyBorder="1" applyAlignment="1">
      <alignment horizontal="center" vertical="center"/>
    </xf>
    <xf numFmtId="0" fontId="29" fillId="0" borderId="24" xfId="2" applyFont="1" applyBorder="1" applyAlignment="1">
      <alignment horizontal="center" vertical="center"/>
    </xf>
    <xf numFmtId="0" fontId="70" fillId="0" borderId="26" xfId="2" applyFont="1" applyBorder="1" applyAlignment="1">
      <alignment horizontal="center" vertical="center" wrapText="1"/>
    </xf>
    <xf numFmtId="0" fontId="81" fillId="0" borderId="27" xfId="2" applyFont="1" applyBorder="1" applyAlignment="1">
      <alignment horizontal="center" vertical="center"/>
    </xf>
    <xf numFmtId="0" fontId="29" fillId="0" borderId="26" xfId="2" applyFont="1" applyBorder="1" applyAlignment="1">
      <alignment horizontal="center" vertical="center"/>
    </xf>
    <xf numFmtId="0" fontId="29" fillId="0" borderId="30" xfId="2" applyFont="1" applyBorder="1" applyAlignment="1">
      <alignment horizontal="center" vertical="center"/>
    </xf>
    <xf numFmtId="0" fontId="71" fillId="0" borderId="27" xfId="2" applyFont="1" applyBorder="1" applyAlignment="1">
      <alignment horizontal="center" vertical="center"/>
    </xf>
    <xf numFmtId="0" fontId="71" fillId="0" borderId="21" xfId="2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0" fontId="50" fillId="0" borderId="0" xfId="2" applyFont="1" applyAlignment="1">
      <alignment horizontal="center" vertical="center" wrapText="1"/>
    </xf>
    <xf numFmtId="0" fontId="50" fillId="22" borderId="0" xfId="0" applyFont="1" applyFill="1" applyAlignment="1">
      <alignment horizontal="center" vertical="center"/>
    </xf>
    <xf numFmtId="0" fontId="59" fillId="22" borderId="0" xfId="0" applyFont="1" applyFill="1" applyAlignment="1">
      <alignment horizontal="center" vertical="center"/>
    </xf>
    <xf numFmtId="0" fontId="29" fillId="22" borderId="0" xfId="0" applyFont="1" applyFill="1" applyAlignment="1">
      <alignment horizontal="center" vertical="center"/>
    </xf>
    <xf numFmtId="0" fontId="50" fillId="0" borderId="31" xfId="2" applyFont="1" applyBorder="1" applyAlignment="1">
      <alignment vertical="center"/>
    </xf>
    <xf numFmtId="0" fontId="50" fillId="0" borderId="32" xfId="2" applyFont="1" applyBorder="1" applyAlignment="1">
      <alignment vertical="center"/>
    </xf>
    <xf numFmtId="0" fontId="45" fillId="0" borderId="29" xfId="3" applyFont="1" applyBorder="1" applyAlignment="1">
      <alignment vertical="center"/>
    </xf>
    <xf numFmtId="0" fontId="50" fillId="0" borderId="28" xfId="2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81" fillId="0" borderId="0" xfId="2" applyFont="1" applyAlignment="1">
      <alignment horizontal="center" vertical="center"/>
    </xf>
    <xf numFmtId="0" fontId="72" fillId="21" borderId="0" xfId="2" applyFont="1" applyFill="1" applyAlignment="1">
      <alignment horizontal="left" vertical="center"/>
    </xf>
    <xf numFmtId="21" fontId="26" fillId="36" borderId="1" xfId="0" applyNumberFormat="1" applyFont="1" applyFill="1" applyBorder="1" applyAlignment="1">
      <alignment vertical="center" wrapText="1"/>
    </xf>
    <xf numFmtId="21" fontId="26" fillId="0" borderId="1" xfId="0" applyNumberFormat="1" applyFont="1" applyBorder="1" applyAlignment="1">
      <alignment vertical="center" wrapText="1"/>
    </xf>
    <xf numFmtId="21" fontId="26" fillId="5" borderId="1" xfId="0" applyNumberFormat="1" applyFont="1" applyFill="1" applyBorder="1" applyAlignment="1">
      <alignment vertical="center" wrapText="1"/>
    </xf>
    <xf numFmtId="21" fontId="26" fillId="6" borderId="1" xfId="0" applyNumberFormat="1" applyFont="1" applyFill="1" applyBorder="1" applyAlignment="1">
      <alignment vertical="center" wrapText="1"/>
    </xf>
    <xf numFmtId="21" fontId="26" fillId="18" borderId="1" xfId="0" applyNumberFormat="1" applyFont="1" applyFill="1" applyBorder="1" applyAlignment="1">
      <alignment vertical="center" wrapText="1"/>
    </xf>
    <xf numFmtId="0" fontId="26" fillId="0" borderId="7" xfId="0" applyFont="1" applyBorder="1" applyAlignment="1">
      <alignment vertical="center"/>
    </xf>
    <xf numFmtId="0" fontId="27" fillId="0" borderId="7" xfId="0" applyFont="1" applyBorder="1" applyAlignment="1">
      <alignment horizontal="right" vertical="center"/>
    </xf>
    <xf numFmtId="0" fontId="30" fillId="0" borderId="0" xfId="0" applyFont="1" applyAlignment="1">
      <alignment vertical="center"/>
    </xf>
    <xf numFmtId="0" fontId="44" fillId="14" borderId="8" xfId="3" applyFont="1" applyFill="1" applyBorder="1" applyAlignment="1">
      <alignment vertical="center"/>
    </xf>
    <xf numFmtId="0" fontId="53" fillId="14" borderId="25" xfId="2" applyFont="1" applyFill="1" applyBorder="1" applyAlignment="1">
      <alignment horizontal="center" vertical="center"/>
    </xf>
    <xf numFmtId="0" fontId="31" fillId="14" borderId="25" xfId="2" applyFont="1" applyFill="1" applyBorder="1" applyAlignment="1">
      <alignment horizontal="center" vertical="center"/>
    </xf>
    <xf numFmtId="0" fontId="29" fillId="21" borderId="25" xfId="2" applyFont="1" applyFill="1" applyBorder="1" applyAlignment="1">
      <alignment horizontal="center" vertical="center"/>
    </xf>
    <xf numFmtId="0" fontId="29" fillId="0" borderId="33" xfId="2" applyFont="1" applyBorder="1" applyAlignment="1">
      <alignment horizontal="center" vertical="center"/>
    </xf>
    <xf numFmtId="0" fontId="50" fillId="0" borderId="33" xfId="2" applyFont="1" applyBorder="1" applyAlignment="1">
      <alignment horizontal="center" vertical="center"/>
    </xf>
    <xf numFmtId="0" fontId="69" fillId="0" borderId="25" xfId="2" applyFont="1" applyBorder="1" applyAlignment="1">
      <alignment horizontal="center" vertical="center"/>
    </xf>
    <xf numFmtId="0" fontId="29" fillId="29" borderId="8" xfId="2" quotePrefix="1" applyFont="1" applyFill="1" applyBorder="1" applyAlignment="1">
      <alignment horizontal="center" vertical="center"/>
    </xf>
    <xf numFmtId="0" fontId="28" fillId="5" borderId="1" xfId="0" quotePrefix="1" applyFont="1" applyFill="1" applyBorder="1" applyAlignment="1">
      <alignment horizontal="center" vertical="center"/>
    </xf>
    <xf numFmtId="0" fontId="31" fillId="0" borderId="8" xfId="2" quotePrefix="1" applyFont="1" applyBorder="1" applyAlignment="1">
      <alignment horizontal="center" vertical="center"/>
    </xf>
    <xf numFmtId="0" fontId="31" fillId="27" borderId="8" xfId="2" quotePrefix="1" applyFont="1" applyFill="1" applyBorder="1" applyAlignment="1">
      <alignment horizontal="center" vertical="center"/>
    </xf>
    <xf numFmtId="0" fontId="31" fillId="24" borderId="8" xfId="2" quotePrefix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52" fillId="2" borderId="4" xfId="0" applyFont="1" applyFill="1" applyBorder="1" applyAlignment="1">
      <alignment horizontal="left" vertical="center" wrapText="1"/>
    </xf>
    <xf numFmtId="21" fontId="26" fillId="37" borderId="1" xfId="0" applyNumberFormat="1" applyFont="1" applyFill="1" applyBorder="1" applyAlignment="1">
      <alignment vertical="center" wrapText="1"/>
    </xf>
    <xf numFmtId="0" fontId="84" fillId="0" borderId="8" xfId="2" quotePrefix="1" applyFont="1" applyBorder="1" applyAlignment="1">
      <alignment horizontal="center" vertical="center"/>
    </xf>
    <xf numFmtId="0" fontId="85" fillId="0" borderId="8" xfId="2" quotePrefix="1" applyFont="1" applyBorder="1" applyAlignment="1">
      <alignment horizontal="center" vertical="center"/>
    </xf>
    <xf numFmtId="0" fontId="86" fillId="0" borderId="8" xfId="2" quotePrefix="1" applyFont="1" applyBorder="1" applyAlignment="1">
      <alignment horizontal="center" vertical="center"/>
    </xf>
    <xf numFmtId="0" fontId="87" fillId="0" borderId="8" xfId="2" quotePrefix="1" applyFont="1" applyBorder="1" applyAlignment="1">
      <alignment horizontal="center" vertical="center"/>
    </xf>
    <xf numFmtId="0" fontId="88" fillId="0" borderId="8" xfId="2" quotePrefix="1" applyFont="1" applyBorder="1" applyAlignment="1">
      <alignment horizontal="center" vertical="center"/>
    </xf>
    <xf numFmtId="0" fontId="90" fillId="36" borderId="0" xfId="0" applyFont="1" applyFill="1" applyAlignment="1">
      <alignment vertical="center" wrapText="1"/>
    </xf>
    <xf numFmtId="0" fontId="30" fillId="0" borderId="7" xfId="0" applyFont="1" applyBorder="1" applyAlignment="1">
      <alignment horizontal="center" vertical="center" wrapText="1"/>
    </xf>
    <xf numFmtId="0" fontId="74" fillId="0" borderId="7" xfId="0" applyFont="1" applyBorder="1" applyAlignment="1">
      <alignment horizontal="center" vertical="center"/>
    </xf>
    <xf numFmtId="21" fontId="8" fillId="2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40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74" fillId="6" borderId="7" xfId="0" applyFont="1" applyFill="1" applyBorder="1" applyAlignment="1">
      <alignment horizontal="center" vertical="center"/>
    </xf>
    <xf numFmtId="0" fontId="89" fillId="21" borderId="34" xfId="0" applyFont="1" applyFill="1" applyBorder="1" applyAlignment="1">
      <alignment horizontal="center" vertical="center" textRotation="90"/>
    </xf>
    <xf numFmtId="0" fontId="40" fillId="2" borderId="8" xfId="2" applyFont="1" applyFill="1" applyBorder="1" applyAlignment="1">
      <alignment horizontal="center" vertical="center" wrapText="1"/>
    </xf>
    <xf numFmtId="0" fontId="51" fillId="0" borderId="8" xfId="2" applyFont="1" applyBorder="1" applyAlignment="1">
      <alignment vertical="center"/>
    </xf>
    <xf numFmtId="0" fontId="40" fillId="2" borderId="9" xfId="2" applyFont="1" applyFill="1" applyBorder="1" applyAlignment="1">
      <alignment horizontal="center" vertical="center" wrapText="1"/>
    </xf>
    <xf numFmtId="0" fontId="53" fillId="27" borderId="8" xfId="2" applyFont="1" applyFill="1" applyBorder="1" applyAlignment="1">
      <alignment horizontal="center" vertical="center" wrapText="1"/>
    </xf>
    <xf numFmtId="0" fontId="53" fillId="27" borderId="8" xfId="2" applyFont="1" applyFill="1" applyBorder="1" applyAlignment="1">
      <alignment horizontal="center" vertical="center"/>
    </xf>
    <xf numFmtId="0" fontId="53" fillId="28" borderId="8" xfId="2" applyFont="1" applyFill="1" applyBorder="1" applyAlignment="1">
      <alignment horizontal="center" vertical="center" wrapText="1"/>
    </xf>
    <xf numFmtId="0" fontId="53" fillId="28" borderId="8" xfId="2" applyFont="1" applyFill="1" applyBorder="1" applyAlignment="1">
      <alignment horizontal="center" vertical="center"/>
    </xf>
    <xf numFmtId="0" fontId="69" fillId="0" borderId="9" xfId="2" applyFont="1" applyBorder="1" applyAlignment="1">
      <alignment horizontal="center" vertical="center"/>
    </xf>
    <xf numFmtId="0" fontId="69" fillId="0" borderId="13" xfId="2" applyFont="1" applyBorder="1" applyAlignment="1">
      <alignment horizontal="center" vertical="center"/>
    </xf>
    <xf numFmtId="0" fontId="69" fillId="0" borderId="14" xfId="2" applyFont="1" applyBorder="1" applyAlignment="1">
      <alignment horizontal="center" vertical="center"/>
    </xf>
    <xf numFmtId="0" fontId="67" fillId="30" borderId="0" xfId="2" applyFont="1" applyFill="1" applyAlignment="1">
      <alignment horizontal="center" vertical="center" wrapText="1"/>
    </xf>
    <xf numFmtId="0" fontId="66" fillId="0" borderId="0" xfId="2" applyFont="1" applyAlignment="1">
      <alignment horizontal="center" vertical="center"/>
    </xf>
    <xf numFmtId="0" fontId="70" fillId="0" borderId="9" xfId="2" applyFont="1" applyBorder="1" applyAlignment="1">
      <alignment horizontal="center" vertical="center" wrapText="1"/>
    </xf>
    <xf numFmtId="0" fontId="70" fillId="0" borderId="13" xfId="2" applyFont="1" applyBorder="1" applyAlignment="1">
      <alignment horizontal="center" vertical="center" wrapText="1"/>
    </xf>
    <xf numFmtId="0" fontId="70" fillId="0" borderId="14" xfId="2" applyFont="1" applyBorder="1" applyAlignment="1">
      <alignment horizontal="center" vertical="center" wrapText="1"/>
    </xf>
    <xf numFmtId="0" fontId="14" fillId="5" borderId="7" xfId="0" applyFont="1" applyFill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2 2" xfId="3" xr:uid="{F460CB50-C9E2-475A-AD6A-F723F2D30648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B999"/>
  <sheetViews>
    <sheetView tabSelected="1" view="pageBreakPreview" topLeftCell="A27" zoomScale="135" zoomScaleNormal="100" zoomScaleSheetLayoutView="135" workbookViewId="0">
      <selection activeCell="C36" sqref="C36:F36"/>
    </sheetView>
  </sheetViews>
  <sheetFormatPr baseColWidth="10" defaultColWidth="12.5" defaultRowHeight="15" customHeight="1" x14ac:dyDescent="0.15"/>
  <cols>
    <col min="1" max="1" width="3" style="57" bestFit="1" customWidth="1"/>
    <col min="2" max="2" width="7.33203125" style="57" customWidth="1"/>
    <col min="3" max="3" width="14.5" style="57" customWidth="1"/>
    <col min="4" max="4" width="20.33203125" style="57" customWidth="1"/>
    <col min="5" max="6" width="21.5" style="57" customWidth="1"/>
    <col min="7" max="7" width="29.6640625" style="57" customWidth="1"/>
    <col min="8" max="8" width="8.1640625" style="57" bestFit="1" customWidth="1"/>
    <col min="9" max="9" width="14.6640625" style="57" customWidth="1"/>
    <col min="10" max="10" width="15.83203125" style="57" customWidth="1"/>
    <col min="11" max="11" width="1.6640625" style="57" customWidth="1"/>
    <col min="12" max="14" width="11.5" style="57" customWidth="1"/>
    <col min="15" max="15" width="0.5" style="57" customWidth="1"/>
    <col min="16" max="16" width="11.5" style="57" customWidth="1"/>
    <col min="17" max="28" width="10.5" style="57" customWidth="1"/>
    <col min="29" max="16384" width="12.5" style="57"/>
  </cols>
  <sheetData>
    <row r="1" spans="1:28" ht="12" customHeight="1" x14ac:dyDescent="0.15">
      <c r="A1" s="1">
        <v>1</v>
      </c>
      <c r="B1" s="1"/>
      <c r="C1" s="1"/>
      <c r="D1" s="1"/>
      <c r="E1" s="1"/>
      <c r="F1" s="1"/>
      <c r="G1" s="1"/>
      <c r="H1" s="2">
        <f>SUM(H2,H34,H36)</f>
        <v>8.4097222222222212E-2</v>
      </c>
      <c r="I1" s="1" t="s">
        <v>0</v>
      </c>
      <c r="J1" s="1"/>
      <c r="K1" s="1"/>
      <c r="L1" s="1"/>
      <c r="M1" s="2">
        <f>SUM(M2,M34,M36)</f>
        <v>8.3900462962962968E-2</v>
      </c>
      <c r="N1" s="321" t="s">
        <v>596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3.75" customHeight="1" x14ac:dyDescent="0.15">
      <c r="A2" s="1">
        <v>2</v>
      </c>
      <c r="B2" s="3"/>
      <c r="C2" s="347" t="s">
        <v>51</v>
      </c>
      <c r="D2" s="348"/>
      <c r="E2" s="348"/>
      <c r="F2" s="349"/>
      <c r="G2" s="207" t="s">
        <v>414</v>
      </c>
      <c r="H2" s="4">
        <f>SUM(H5:H33)</f>
        <v>2.9606481481481477E-2</v>
      </c>
      <c r="I2" s="345" t="s">
        <v>1</v>
      </c>
      <c r="J2" s="346"/>
      <c r="K2" s="1"/>
      <c r="L2" s="1"/>
      <c r="M2" s="4">
        <f>SUM(M5:M33)</f>
        <v>2.9560185185185182E-2</v>
      </c>
      <c r="N2" s="321" t="s">
        <v>597</v>
      </c>
      <c r="O2" s="1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2.5" customHeight="1" x14ac:dyDescent="0.15">
      <c r="A3" s="1">
        <v>3</v>
      </c>
      <c r="B3" s="51"/>
      <c r="C3" s="63" t="s">
        <v>2</v>
      </c>
      <c r="D3" s="52"/>
      <c r="E3" s="64"/>
      <c r="F3" s="52"/>
      <c r="G3" s="65"/>
      <c r="H3" s="66"/>
      <c r="I3" s="52"/>
      <c r="J3" s="67"/>
      <c r="K3" s="1"/>
      <c r="L3" s="1"/>
      <c r="M3" s="66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9.25" customHeight="1" x14ac:dyDescent="0.15">
      <c r="A4" s="1">
        <v>4</v>
      </c>
      <c r="B4" s="91" t="s">
        <v>52</v>
      </c>
      <c r="C4" s="9" t="s">
        <v>3</v>
      </c>
      <c r="D4" s="9" t="s">
        <v>4</v>
      </c>
      <c r="E4" s="10" t="s">
        <v>5</v>
      </c>
      <c r="F4" s="10" t="s">
        <v>6</v>
      </c>
      <c r="G4" s="11" t="s">
        <v>7</v>
      </c>
      <c r="H4" s="12" t="s">
        <v>8</v>
      </c>
      <c r="I4" s="9" t="s">
        <v>9</v>
      </c>
      <c r="J4" s="9" t="s">
        <v>10</v>
      </c>
      <c r="K4" s="1"/>
      <c r="L4" s="1"/>
      <c r="M4" s="12" t="s">
        <v>8</v>
      </c>
      <c r="N4" s="1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.5" customHeight="1" x14ac:dyDescent="0.15">
      <c r="A5" s="1">
        <v>5</v>
      </c>
      <c r="B5" s="3" t="s">
        <v>11</v>
      </c>
      <c r="C5" s="3" t="s">
        <v>12</v>
      </c>
      <c r="D5" s="7"/>
      <c r="E5" s="7"/>
      <c r="F5" s="7"/>
      <c r="G5" s="7"/>
      <c r="H5" s="315">
        <v>1.3888888888888889E-3</v>
      </c>
      <c r="I5" s="7"/>
      <c r="J5" s="7"/>
      <c r="K5" s="1"/>
      <c r="L5" s="1"/>
      <c r="M5" s="315">
        <v>1.3888888888888889E-3</v>
      </c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4.75" customHeight="1" x14ac:dyDescent="0.15">
      <c r="A6" s="1">
        <v>6</v>
      </c>
      <c r="B6" s="51"/>
      <c r="C6" s="216" t="s">
        <v>451</v>
      </c>
      <c r="D6" s="55"/>
      <c r="E6" s="56" t="s">
        <v>50</v>
      </c>
      <c r="F6" s="343" t="s">
        <v>574</v>
      </c>
      <c r="G6" s="353"/>
      <c r="H6" s="316">
        <v>0</v>
      </c>
      <c r="I6" s="52"/>
      <c r="J6" s="54"/>
      <c r="K6" s="1"/>
      <c r="L6" s="1"/>
      <c r="M6" s="316">
        <v>0</v>
      </c>
      <c r="N6" s="15"/>
      <c r="O6" s="1"/>
      <c r="P6" s="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3" x14ac:dyDescent="0.15">
      <c r="A7" s="1">
        <v>7</v>
      </c>
      <c r="B7" s="18" t="s">
        <v>13</v>
      </c>
      <c r="C7" s="69" t="s">
        <v>14</v>
      </c>
      <c r="D7" s="74"/>
      <c r="E7" s="75" t="s">
        <v>15</v>
      </c>
      <c r="F7" s="74"/>
      <c r="G7" s="19"/>
      <c r="H7" s="22"/>
      <c r="I7" s="72"/>
      <c r="J7" s="73"/>
      <c r="K7" s="1"/>
      <c r="L7" s="1"/>
      <c r="M7" s="22"/>
      <c r="N7" s="1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52.5" customHeight="1" x14ac:dyDescent="0.15">
      <c r="A8" s="1">
        <v>8</v>
      </c>
      <c r="B8" s="77" t="s">
        <v>16</v>
      </c>
      <c r="C8" s="213" t="s">
        <v>435</v>
      </c>
      <c r="D8" s="85" t="s">
        <v>53</v>
      </c>
      <c r="E8" s="86" t="s">
        <v>429</v>
      </c>
      <c r="F8" s="78" t="s">
        <v>419</v>
      </c>
      <c r="G8" s="79" t="s">
        <v>387</v>
      </c>
      <c r="H8" s="255">
        <v>1.9791666666666668E-3</v>
      </c>
      <c r="I8" s="86" t="s">
        <v>372</v>
      </c>
      <c r="J8" s="86" t="s">
        <v>373</v>
      </c>
      <c r="K8" s="1"/>
      <c r="L8" s="1"/>
      <c r="M8" s="257">
        <v>1.9444444444444444E-3</v>
      </c>
      <c r="N8" s="1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5.5" customHeight="1" x14ac:dyDescent="0.15">
      <c r="A9" s="1">
        <v>9</v>
      </c>
      <c r="B9" s="51"/>
      <c r="C9" s="55"/>
      <c r="D9" s="55"/>
      <c r="E9" s="56" t="s">
        <v>50</v>
      </c>
      <c r="F9" s="343" t="s">
        <v>578</v>
      </c>
      <c r="G9" s="343"/>
      <c r="H9" s="53"/>
      <c r="I9" s="52"/>
      <c r="J9" s="54"/>
      <c r="K9" s="1"/>
      <c r="L9" s="1"/>
      <c r="M9" s="53"/>
      <c r="N9" s="6"/>
      <c r="O9" s="1"/>
      <c r="P9" s="6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56.25" customHeight="1" x14ac:dyDescent="0.15">
      <c r="A10" s="1">
        <v>10</v>
      </c>
      <c r="B10" s="23" t="s">
        <v>17</v>
      </c>
      <c r="C10" s="214" t="s">
        <v>444</v>
      </c>
      <c r="D10" s="44" t="s">
        <v>55</v>
      </c>
      <c r="E10" s="87" t="s">
        <v>428</v>
      </c>
      <c r="F10" s="45" t="s">
        <v>371</v>
      </c>
      <c r="G10" s="24" t="s">
        <v>388</v>
      </c>
      <c r="H10" s="28">
        <v>2.673611111111111E-3</v>
      </c>
      <c r="I10" s="87" t="s">
        <v>374</v>
      </c>
      <c r="J10" s="87" t="s">
        <v>375</v>
      </c>
      <c r="K10" s="1"/>
      <c r="L10" s="1"/>
      <c r="M10" s="258">
        <v>2.685185185185185E-3</v>
      </c>
      <c r="N10" s="6"/>
      <c r="O10" s="1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" x14ac:dyDescent="0.15">
      <c r="A11" s="1">
        <v>11</v>
      </c>
      <c r="B11" s="58"/>
      <c r="C11" s="59"/>
      <c r="D11" s="59"/>
      <c r="E11" s="62"/>
      <c r="F11" s="61"/>
      <c r="G11" s="60"/>
      <c r="H11" s="60"/>
      <c r="I11" s="60"/>
      <c r="J11" s="24"/>
      <c r="K11" s="1"/>
      <c r="L11" s="1"/>
      <c r="M11" s="60"/>
      <c r="N11" s="6"/>
      <c r="O11" s="1"/>
      <c r="P11" s="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78" customHeight="1" x14ac:dyDescent="0.15">
      <c r="A12" s="1">
        <v>12</v>
      </c>
      <c r="B12" s="77" t="s">
        <v>18</v>
      </c>
      <c r="C12" s="83" t="s">
        <v>445</v>
      </c>
      <c r="D12" s="211" t="s">
        <v>62</v>
      </c>
      <c r="E12" s="86" t="s">
        <v>426</v>
      </c>
      <c r="F12" s="78" t="s">
        <v>371</v>
      </c>
      <c r="G12" s="78" t="s">
        <v>389</v>
      </c>
      <c r="H12" s="255">
        <v>1.8749999999999999E-3</v>
      </c>
      <c r="I12" s="86" t="s">
        <v>377</v>
      </c>
      <c r="J12" s="86" t="s">
        <v>378</v>
      </c>
      <c r="K12" s="1"/>
      <c r="L12" s="1"/>
      <c r="M12" s="257">
        <v>1.8865740740740742E-3</v>
      </c>
      <c r="N12" s="6"/>
      <c r="O12" s="1"/>
      <c r="P12" s="6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" x14ac:dyDescent="0.15">
      <c r="A13" s="1">
        <v>13</v>
      </c>
      <c r="B13" s="51"/>
      <c r="C13" s="55"/>
      <c r="D13" s="55"/>
      <c r="E13" s="56" t="s">
        <v>50</v>
      </c>
      <c r="F13" s="95"/>
      <c r="G13" s="52"/>
      <c r="H13" s="53"/>
      <c r="I13" s="52"/>
      <c r="J13" s="54"/>
      <c r="K13" s="1"/>
      <c r="L13" s="1"/>
      <c r="M13" s="53"/>
      <c r="N13" s="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02" customHeight="1" x14ac:dyDescent="0.15">
      <c r="A14" s="1">
        <v>14</v>
      </c>
      <c r="B14" s="23" t="s">
        <v>19</v>
      </c>
      <c r="C14" s="48" t="s">
        <v>446</v>
      </c>
      <c r="D14" s="210" t="s">
        <v>636</v>
      </c>
      <c r="E14" s="88" t="s">
        <v>427</v>
      </c>
      <c r="F14" s="43" t="s">
        <v>417</v>
      </c>
      <c r="G14" s="43" t="s">
        <v>390</v>
      </c>
      <c r="H14" s="28">
        <v>2.5694444444444445E-3</v>
      </c>
      <c r="I14" s="88" t="s">
        <v>379</v>
      </c>
      <c r="J14" s="88" t="s">
        <v>380</v>
      </c>
      <c r="K14" s="1"/>
      <c r="L14" s="1"/>
      <c r="M14" s="28">
        <v>2.5694444444444445E-3</v>
      </c>
      <c r="N14" s="6" t="s">
        <v>639</v>
      </c>
      <c r="O14" s="1"/>
      <c r="P14" s="6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" customHeight="1" x14ac:dyDescent="0.15">
      <c r="A15" s="1">
        <v>15</v>
      </c>
      <c r="B15" s="58"/>
      <c r="C15" s="59"/>
      <c r="D15" s="59"/>
      <c r="E15" s="62" t="s">
        <v>50</v>
      </c>
      <c r="F15" s="61" t="s">
        <v>58</v>
      </c>
      <c r="G15" s="60"/>
      <c r="H15" s="60"/>
      <c r="I15" s="60"/>
      <c r="J15" s="24"/>
      <c r="K15" s="1"/>
      <c r="L15" s="1"/>
      <c r="M15" s="60"/>
      <c r="N15" s="6"/>
      <c r="O15" s="1"/>
      <c r="P15" s="6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.5" customHeight="1" x14ac:dyDescent="0.15">
      <c r="A16" s="1">
        <v>16</v>
      </c>
      <c r="B16" s="96" t="s">
        <v>65</v>
      </c>
      <c r="C16" s="20" t="s">
        <v>14</v>
      </c>
      <c r="D16" s="74"/>
      <c r="E16" s="371" t="s">
        <v>660</v>
      </c>
      <c r="F16" s="74"/>
      <c r="G16" s="19"/>
      <c r="H16" s="316">
        <v>3.4722222222222224E-4</v>
      </c>
      <c r="I16" s="72"/>
      <c r="J16" s="73"/>
      <c r="K16" s="1"/>
      <c r="L16" s="1"/>
      <c r="M16" s="316">
        <v>3.4722222222222224E-4</v>
      </c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60" x14ac:dyDescent="0.15">
      <c r="A17" s="1">
        <v>17</v>
      </c>
      <c r="B17" s="77" t="s">
        <v>20</v>
      </c>
      <c r="C17" s="84" t="s">
        <v>89</v>
      </c>
      <c r="D17" s="84" t="s">
        <v>60</v>
      </c>
      <c r="E17" s="79" t="s">
        <v>643</v>
      </c>
      <c r="F17" s="79" t="s">
        <v>421</v>
      </c>
      <c r="G17" s="79" t="s">
        <v>640</v>
      </c>
      <c r="H17" s="314">
        <v>2.8472222222222223E-3</v>
      </c>
      <c r="I17" s="86" t="s">
        <v>641</v>
      </c>
      <c r="J17" s="86" t="s">
        <v>642</v>
      </c>
      <c r="K17" s="1"/>
      <c r="L17" s="1"/>
      <c r="M17" s="314">
        <v>2.8472222222222223E-3</v>
      </c>
      <c r="N17" s="6"/>
      <c r="O17" s="1"/>
      <c r="P17" s="6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5.5" customHeight="1" x14ac:dyDescent="0.15">
      <c r="A18" s="1">
        <v>18</v>
      </c>
      <c r="B18" s="51"/>
      <c r="C18" s="55"/>
      <c r="D18" s="55"/>
      <c r="E18" s="56" t="s">
        <v>50</v>
      </c>
      <c r="F18" s="343" t="s">
        <v>575</v>
      </c>
      <c r="G18" s="343"/>
      <c r="H18" s="53"/>
      <c r="I18" s="52"/>
      <c r="J18" s="54"/>
      <c r="K18" s="1"/>
      <c r="L18" s="1"/>
      <c r="M18" s="53"/>
      <c r="N18" s="6"/>
      <c r="O18" s="1"/>
      <c r="P18" s="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9" customHeight="1" x14ac:dyDescent="0.15">
      <c r="A19" s="1">
        <v>19</v>
      </c>
      <c r="B19" s="23" t="s">
        <v>21</v>
      </c>
      <c r="C19" s="48" t="s">
        <v>447</v>
      </c>
      <c r="D19" s="210" t="s">
        <v>396</v>
      </c>
      <c r="E19" s="88" t="s">
        <v>430</v>
      </c>
      <c r="F19" s="43" t="s">
        <v>417</v>
      </c>
      <c r="G19" s="43" t="s">
        <v>415</v>
      </c>
      <c r="H19" s="28">
        <v>2.7777777777777779E-3</v>
      </c>
      <c r="I19" s="88" t="s">
        <v>381</v>
      </c>
      <c r="J19" s="88" t="s">
        <v>382</v>
      </c>
      <c r="K19" s="1"/>
      <c r="L19" s="1"/>
      <c r="M19" s="258">
        <v>2.7893518518518519E-3</v>
      </c>
      <c r="N19" s="6"/>
      <c r="O19" s="1"/>
      <c r="P19" s="6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5.5" customHeight="1" x14ac:dyDescent="0.15">
      <c r="A20" s="1">
        <v>20</v>
      </c>
      <c r="B20" s="58"/>
      <c r="C20" s="59"/>
      <c r="D20" s="59"/>
      <c r="E20" s="62" t="s">
        <v>50</v>
      </c>
      <c r="F20" s="354" t="s">
        <v>386</v>
      </c>
      <c r="G20" s="354"/>
      <c r="H20" s="60"/>
      <c r="I20" s="60"/>
      <c r="J20" s="24"/>
      <c r="K20" s="1"/>
      <c r="L20" s="1"/>
      <c r="M20" s="60"/>
      <c r="N20" s="6"/>
      <c r="O20" s="1"/>
      <c r="P20" s="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72.75" customHeight="1" x14ac:dyDescent="0.15">
      <c r="A21" s="1">
        <v>21</v>
      </c>
      <c r="B21" s="77" t="s">
        <v>22</v>
      </c>
      <c r="C21" s="47" t="s">
        <v>448</v>
      </c>
      <c r="D21" s="209" t="s">
        <v>48</v>
      </c>
      <c r="E21" s="86" t="s">
        <v>425</v>
      </c>
      <c r="F21" s="78" t="s">
        <v>418</v>
      </c>
      <c r="G21" s="78" t="s">
        <v>416</v>
      </c>
      <c r="H21" s="255">
        <v>2.662037037037037E-3</v>
      </c>
      <c r="I21" s="86" t="s">
        <v>384</v>
      </c>
      <c r="J21" s="86" t="s">
        <v>385</v>
      </c>
      <c r="K21" s="1"/>
      <c r="L21" s="1"/>
      <c r="M21" s="257">
        <v>2.6041666666666665E-3</v>
      </c>
      <c r="N21" s="6"/>
      <c r="O21" s="1"/>
      <c r="P21" s="25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" customHeight="1" x14ac:dyDescent="0.15">
      <c r="A22" s="1">
        <v>22</v>
      </c>
      <c r="B22" s="51"/>
      <c r="C22" s="55"/>
      <c r="D22" s="55"/>
      <c r="E22" s="56" t="s">
        <v>50</v>
      </c>
      <c r="F22" s="95" t="s">
        <v>58</v>
      </c>
      <c r="G22" s="52"/>
      <c r="H22" s="53"/>
      <c r="I22" s="52"/>
      <c r="J22" s="54"/>
      <c r="K22" s="1"/>
      <c r="L22" s="1"/>
      <c r="M22" s="53"/>
      <c r="N22" s="6"/>
      <c r="O22" s="1"/>
      <c r="P22" s="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3.5" customHeight="1" x14ac:dyDescent="0.15">
      <c r="A23" s="1">
        <v>23</v>
      </c>
      <c r="B23" s="96" t="s">
        <v>66</v>
      </c>
      <c r="C23" s="20" t="s">
        <v>14</v>
      </c>
      <c r="D23" s="74"/>
      <c r="E23" s="371" t="s">
        <v>63</v>
      </c>
      <c r="F23" s="74"/>
      <c r="G23" s="19"/>
      <c r="H23" s="316">
        <v>3.4722222222222224E-4</v>
      </c>
      <c r="I23" s="72"/>
      <c r="J23" s="73"/>
      <c r="K23" s="1"/>
      <c r="L23" s="1"/>
      <c r="M23" s="316">
        <v>3.4722222222222224E-4</v>
      </c>
      <c r="N23" s="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52.5" customHeight="1" x14ac:dyDescent="0.15">
      <c r="A24" s="1">
        <v>24</v>
      </c>
      <c r="B24" s="23" t="s">
        <v>23</v>
      </c>
      <c r="C24" s="46" t="s">
        <v>84</v>
      </c>
      <c r="D24" s="46" t="s">
        <v>468</v>
      </c>
      <c r="E24" s="27"/>
      <c r="F24" s="43"/>
      <c r="G24" s="27"/>
      <c r="H24" s="317">
        <v>2.0833333333333333E-3</v>
      </c>
      <c r="I24" s="88"/>
      <c r="J24" s="88"/>
      <c r="K24" s="1"/>
      <c r="L24" s="1"/>
      <c r="M24" s="317">
        <v>2.0833333333333333E-3</v>
      </c>
      <c r="N24" s="6"/>
      <c r="O24" s="1"/>
      <c r="P24" s="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 x14ac:dyDescent="0.15">
      <c r="A25" s="1">
        <v>25</v>
      </c>
      <c r="B25" s="58"/>
      <c r="C25" s="59"/>
      <c r="D25" s="59"/>
      <c r="E25" s="62"/>
      <c r="F25" s="61"/>
      <c r="G25" s="60"/>
      <c r="H25" s="60"/>
      <c r="I25" s="60"/>
      <c r="J25" s="24"/>
      <c r="K25" s="1"/>
      <c r="L25" s="1"/>
      <c r="M25" s="60"/>
      <c r="N25" s="6"/>
      <c r="O25" s="1"/>
      <c r="P25" s="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33" customHeight="1" x14ac:dyDescent="0.15">
      <c r="A26" s="1">
        <v>26</v>
      </c>
      <c r="B26" s="96" t="s">
        <v>67</v>
      </c>
      <c r="C26" s="215" t="s">
        <v>450</v>
      </c>
      <c r="D26" s="74"/>
      <c r="E26" s="76" t="s">
        <v>68</v>
      </c>
      <c r="F26" s="74"/>
      <c r="G26" s="19"/>
      <c r="H26" s="316">
        <v>1.3888888888888889E-3</v>
      </c>
      <c r="I26" s="202" t="s">
        <v>383</v>
      </c>
      <c r="J26" s="203" t="s">
        <v>433</v>
      </c>
      <c r="K26" s="1"/>
      <c r="L26" s="1"/>
      <c r="M26" s="316">
        <v>1.3888888888888889E-3</v>
      </c>
      <c r="N26" s="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62" x14ac:dyDescent="0.15">
      <c r="A27" s="1">
        <v>27</v>
      </c>
      <c r="B27" s="77" t="s">
        <v>24</v>
      </c>
      <c r="C27" s="84" t="s">
        <v>90</v>
      </c>
      <c r="D27" s="84" t="s">
        <v>69</v>
      </c>
      <c r="E27" s="342" t="s">
        <v>644</v>
      </c>
      <c r="F27" s="79" t="s">
        <v>421</v>
      </c>
      <c r="G27" s="79" t="s">
        <v>646</v>
      </c>
      <c r="H27" s="314">
        <v>2.8587962962962963E-3</v>
      </c>
      <c r="I27" s="86" t="s">
        <v>647</v>
      </c>
      <c r="J27" s="86" t="s">
        <v>648</v>
      </c>
      <c r="K27" s="1"/>
      <c r="L27" s="1"/>
      <c r="M27" s="314">
        <v>2.8587962962962963E-3</v>
      </c>
      <c r="N27" s="6"/>
      <c r="O27" s="1"/>
      <c r="P27" s="6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15">
      <c r="A28" s="1">
        <v>28</v>
      </c>
      <c r="B28" s="51"/>
      <c r="C28" s="55"/>
      <c r="D28" s="55"/>
      <c r="E28" s="79"/>
      <c r="F28" s="95"/>
      <c r="G28" s="52"/>
      <c r="H28" s="53"/>
      <c r="I28" s="52"/>
      <c r="J28" s="54"/>
      <c r="K28" s="1"/>
      <c r="L28" s="1"/>
      <c r="M28" s="53"/>
      <c r="N28" s="6"/>
      <c r="O28" s="1"/>
      <c r="P28" s="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69" customHeight="1" x14ac:dyDescent="0.15">
      <c r="A29" s="1">
        <v>29</v>
      </c>
      <c r="B29" s="23" t="s">
        <v>25</v>
      </c>
      <c r="C29" s="48" t="s">
        <v>449</v>
      </c>
      <c r="D29" s="210" t="s">
        <v>70</v>
      </c>
      <c r="E29" s="88" t="s">
        <v>424</v>
      </c>
      <c r="F29" s="43" t="s">
        <v>417</v>
      </c>
      <c r="G29" s="43" t="s">
        <v>392</v>
      </c>
      <c r="H29" s="204">
        <v>1.724537037037037E-3</v>
      </c>
      <c r="I29" s="88" t="s">
        <v>391</v>
      </c>
      <c r="J29" s="88" t="s">
        <v>376</v>
      </c>
      <c r="K29" s="1"/>
      <c r="L29" s="1"/>
      <c r="M29" s="259">
        <v>1.736111111111111E-3</v>
      </c>
      <c r="N29" s="6"/>
      <c r="O29" s="1"/>
      <c r="P29" s="2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3" x14ac:dyDescent="0.15">
      <c r="A30" s="1">
        <v>30</v>
      </c>
      <c r="B30" s="58"/>
      <c r="C30" s="59"/>
      <c r="D30" s="59"/>
      <c r="E30" s="62" t="s">
        <v>50</v>
      </c>
      <c r="F30" s="61" t="s">
        <v>58</v>
      </c>
      <c r="G30" s="60"/>
      <c r="H30" s="205"/>
      <c r="I30" s="60"/>
      <c r="J30" s="24"/>
      <c r="K30" s="1"/>
      <c r="L30" s="1"/>
      <c r="M30" s="205"/>
      <c r="N30" s="6"/>
      <c r="O30" s="1"/>
      <c r="P30" s="6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52.5" customHeight="1" x14ac:dyDescent="0.15">
      <c r="A31" s="1">
        <v>31</v>
      </c>
      <c r="B31" s="80" t="s">
        <v>26</v>
      </c>
      <c r="C31" s="97" t="s">
        <v>85</v>
      </c>
      <c r="D31" s="97" t="s">
        <v>71</v>
      </c>
      <c r="E31" s="78"/>
      <c r="F31" s="79"/>
      <c r="G31" s="79"/>
      <c r="H31" s="314">
        <v>2.0833333333333333E-3</v>
      </c>
      <c r="I31" s="89"/>
      <c r="J31" s="89"/>
      <c r="K31" s="1"/>
      <c r="L31" s="1"/>
      <c r="M31" s="314">
        <v>2.0833333333333333E-3</v>
      </c>
      <c r="N31" s="6"/>
      <c r="O31" s="1"/>
      <c r="P31" s="6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" customHeight="1" x14ac:dyDescent="0.15">
      <c r="A32" s="1">
        <v>32</v>
      </c>
      <c r="B32" s="51"/>
      <c r="C32" s="55"/>
      <c r="D32" s="55"/>
      <c r="E32" s="56"/>
      <c r="F32" s="95"/>
      <c r="G32" s="52"/>
      <c r="H32" s="53"/>
      <c r="I32" s="52"/>
      <c r="J32" s="54"/>
      <c r="K32" s="1"/>
      <c r="L32" s="1"/>
      <c r="M32" s="53"/>
      <c r="N32" s="6"/>
      <c r="O32" s="1"/>
      <c r="P32" s="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.5" customHeight="1" x14ac:dyDescent="0.15">
      <c r="A33" s="1">
        <v>33</v>
      </c>
      <c r="B33" s="18"/>
      <c r="C33" s="68" t="s">
        <v>14</v>
      </c>
      <c r="D33" s="19"/>
      <c r="E33" s="70" t="s">
        <v>27</v>
      </c>
      <c r="F33" s="21"/>
      <c r="G33" s="21"/>
      <c r="H33" s="22"/>
      <c r="I33" s="72"/>
      <c r="J33" s="73"/>
      <c r="K33" s="1"/>
      <c r="L33" s="1"/>
      <c r="M33" s="22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52.5" customHeight="1" x14ac:dyDescent="0.15">
      <c r="A34" s="1">
        <v>34</v>
      </c>
      <c r="B34" s="31"/>
      <c r="C34" s="71" t="s">
        <v>28</v>
      </c>
      <c r="D34" s="32"/>
      <c r="E34" s="94" t="s">
        <v>57</v>
      </c>
      <c r="F34" s="33"/>
      <c r="G34" s="33"/>
      <c r="H34" s="34">
        <v>1.3888888888888888E-2</v>
      </c>
      <c r="I34" s="35"/>
      <c r="J34" s="35"/>
      <c r="K34" s="1"/>
      <c r="L34" s="1"/>
      <c r="M34" s="34">
        <v>1.3888888888888888E-2</v>
      </c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" customHeight="1" x14ac:dyDescent="0.15">
      <c r="A35" s="1">
        <v>35</v>
      </c>
      <c r="B35" s="31"/>
      <c r="C35" s="71" t="s">
        <v>28</v>
      </c>
      <c r="D35" s="35"/>
      <c r="E35" s="35"/>
      <c r="F35" s="35"/>
      <c r="G35" s="35"/>
      <c r="H35" s="34"/>
      <c r="I35" s="35"/>
      <c r="J35" s="35"/>
      <c r="K35" s="1"/>
      <c r="L35" s="1"/>
      <c r="M35" s="34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33.75" customHeight="1" x14ac:dyDescent="0.15">
      <c r="A36" s="1">
        <v>36</v>
      </c>
      <c r="B36" s="3"/>
      <c r="C36" s="350" t="str">
        <f>C2</f>
        <v>GALA du Dimanche 24/05/2026:</v>
      </c>
      <c r="D36" s="351"/>
      <c r="E36" s="351"/>
      <c r="F36" s="352"/>
      <c r="G36" s="335" t="str">
        <f>G2</f>
        <v xml:space="preserve">Rêve en Corps </v>
      </c>
      <c r="H36" s="4">
        <f>SUM(H39:H72)</f>
        <v>4.0601851851851854E-2</v>
      </c>
      <c r="I36" s="345" t="s">
        <v>29</v>
      </c>
      <c r="J36" s="346"/>
      <c r="K36" s="1"/>
      <c r="L36" s="1"/>
      <c r="M36" s="4">
        <f>SUM(M39:M72)</f>
        <v>4.0451388888888891E-2</v>
      </c>
      <c r="N36" s="5"/>
      <c r="O36" s="1"/>
      <c r="P36" s="36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8.75" customHeight="1" x14ac:dyDescent="0.15">
      <c r="A37" s="1">
        <v>37</v>
      </c>
      <c r="B37" s="51"/>
      <c r="C37" s="63" t="s">
        <v>2</v>
      </c>
      <c r="D37" s="52"/>
      <c r="E37" s="64"/>
      <c r="F37" s="52"/>
      <c r="G37" s="65"/>
      <c r="H37" s="66"/>
      <c r="I37" s="52"/>
      <c r="J37" s="67"/>
      <c r="K37" s="1"/>
      <c r="L37" s="1"/>
      <c r="M37" s="66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" customHeight="1" x14ac:dyDescent="0.15">
      <c r="A38" s="1">
        <v>38</v>
      </c>
      <c r="B38" s="3"/>
      <c r="C38" s="37" t="s">
        <v>3</v>
      </c>
      <c r="D38" s="37" t="s">
        <v>4</v>
      </c>
      <c r="E38" s="37" t="s">
        <v>5</v>
      </c>
      <c r="F38" s="9" t="s">
        <v>6</v>
      </c>
      <c r="G38" s="11" t="s">
        <v>30</v>
      </c>
      <c r="H38" s="12" t="s">
        <v>8</v>
      </c>
      <c r="I38" s="9" t="s">
        <v>9</v>
      </c>
      <c r="J38" s="9" t="s">
        <v>10</v>
      </c>
      <c r="K38" s="1"/>
      <c r="L38" s="1"/>
      <c r="M38" s="12" t="s">
        <v>8</v>
      </c>
      <c r="N38" s="1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" x14ac:dyDescent="0.15">
      <c r="A39" s="1">
        <v>39</v>
      </c>
      <c r="B39" s="18"/>
      <c r="C39" s="70" t="s">
        <v>452</v>
      </c>
      <c r="D39" s="74"/>
      <c r="E39" s="75" t="s">
        <v>15</v>
      </c>
      <c r="F39" s="74"/>
      <c r="G39" s="19"/>
      <c r="H39" s="22"/>
      <c r="I39" s="72"/>
      <c r="J39" s="73"/>
      <c r="K39" s="1"/>
      <c r="L39" s="1"/>
      <c r="M39" s="22"/>
      <c r="N39" s="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.5" customHeight="1" x14ac:dyDescent="0.15">
      <c r="A40" s="1">
        <v>40</v>
      </c>
      <c r="B40" s="18" t="s">
        <v>31</v>
      </c>
      <c r="C40" s="20" t="s">
        <v>14</v>
      </c>
      <c r="D40" s="74"/>
      <c r="E40" s="371" t="s">
        <v>64</v>
      </c>
      <c r="F40" s="74"/>
      <c r="G40" s="19"/>
      <c r="H40" s="316">
        <v>3.4722222222222224E-4</v>
      </c>
      <c r="I40" s="72"/>
      <c r="J40" s="73"/>
      <c r="K40" s="1"/>
      <c r="L40" s="1"/>
      <c r="M40" s="316">
        <v>3.4722222222222224E-4</v>
      </c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52.5" customHeight="1" x14ac:dyDescent="0.15">
      <c r="A41" s="1">
        <v>41</v>
      </c>
      <c r="B41" s="80" t="s">
        <v>32</v>
      </c>
      <c r="C41" s="82" t="s">
        <v>82</v>
      </c>
      <c r="D41" s="82" t="s">
        <v>72</v>
      </c>
      <c r="E41" s="78"/>
      <c r="F41" s="79"/>
      <c r="G41" s="79"/>
      <c r="H41" s="314">
        <v>2.0833333333333333E-3</v>
      </c>
      <c r="I41" s="86"/>
      <c r="J41" s="86"/>
      <c r="K41" s="1"/>
      <c r="L41" s="1"/>
      <c r="M41" s="314">
        <v>2.0833333333333333E-3</v>
      </c>
      <c r="N41" s="6"/>
      <c r="O41" s="1"/>
      <c r="P41" s="6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" x14ac:dyDescent="0.15">
      <c r="A42" s="1">
        <v>42</v>
      </c>
      <c r="B42" s="51"/>
      <c r="C42" s="55"/>
      <c r="D42" s="55"/>
      <c r="E42" s="56"/>
      <c r="F42" s="95"/>
      <c r="G42" s="52"/>
      <c r="H42" s="53"/>
      <c r="I42" s="52"/>
      <c r="J42" s="54"/>
      <c r="K42" s="1"/>
      <c r="L42" s="1"/>
      <c r="M42" s="53"/>
      <c r="N42" s="6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93" customHeight="1" x14ac:dyDescent="0.15">
      <c r="A43" s="1">
        <v>43</v>
      </c>
      <c r="B43" s="26" t="s">
        <v>33</v>
      </c>
      <c r="C43" s="107" t="s">
        <v>436</v>
      </c>
      <c r="D43" s="206" t="s">
        <v>393</v>
      </c>
      <c r="E43" s="88" t="s">
        <v>453</v>
      </c>
      <c r="F43" s="43" t="s">
        <v>371</v>
      </c>
      <c r="G43" s="43" t="s">
        <v>454</v>
      </c>
      <c r="H43" s="28">
        <v>2.2337962962962962E-3</v>
      </c>
      <c r="I43" s="88" t="s">
        <v>397</v>
      </c>
      <c r="J43" s="88" t="s">
        <v>398</v>
      </c>
      <c r="K43" s="1"/>
      <c r="L43" s="1"/>
      <c r="M43" s="28">
        <v>2.2337962962962962E-3</v>
      </c>
      <c r="N43" s="6"/>
      <c r="O43" s="1"/>
      <c r="P43" s="6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" x14ac:dyDescent="0.15">
      <c r="A44" s="1">
        <v>44</v>
      </c>
      <c r="B44" s="58"/>
      <c r="C44" s="59"/>
      <c r="D44" s="59"/>
      <c r="E44" s="62"/>
      <c r="F44" s="61"/>
      <c r="G44" s="60"/>
      <c r="H44" s="60"/>
      <c r="I44" s="60"/>
      <c r="J44" s="24"/>
      <c r="K44" s="1"/>
      <c r="L44" s="1"/>
      <c r="M44" s="60"/>
      <c r="N44" s="6"/>
      <c r="O44" s="1"/>
      <c r="P44" s="6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75" customHeight="1" x14ac:dyDescent="0.15">
      <c r="A45" s="1">
        <v>45</v>
      </c>
      <c r="B45" s="80" t="s">
        <v>34</v>
      </c>
      <c r="C45" s="98" t="s">
        <v>437</v>
      </c>
      <c r="D45" s="212" t="s">
        <v>61</v>
      </c>
      <c r="E45" s="86" t="s">
        <v>455</v>
      </c>
      <c r="F45" s="78" t="s">
        <v>417</v>
      </c>
      <c r="G45" s="78" t="s">
        <v>432</v>
      </c>
      <c r="H45" s="255">
        <v>2.0601851851851853E-3</v>
      </c>
      <c r="I45" s="86" t="s">
        <v>401</v>
      </c>
      <c r="J45" s="86" t="s">
        <v>402</v>
      </c>
      <c r="K45" s="1"/>
      <c r="L45" s="1"/>
      <c r="M45" s="255">
        <v>2.0601851851851853E-3</v>
      </c>
      <c r="N45" s="1"/>
      <c r="O45" s="1"/>
      <c r="P45" s="6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25.5" customHeight="1" x14ac:dyDescent="0.15">
      <c r="A46" s="1">
        <v>46</v>
      </c>
      <c r="B46" s="51"/>
      <c r="C46" s="55"/>
      <c r="D46" s="55"/>
      <c r="E46" s="56" t="s">
        <v>50</v>
      </c>
      <c r="F46" s="343" t="s">
        <v>420</v>
      </c>
      <c r="G46" s="343"/>
      <c r="H46" s="53"/>
      <c r="I46" s="52"/>
      <c r="J46" s="54"/>
      <c r="K46" s="1"/>
      <c r="L46" s="1"/>
      <c r="M46" s="5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76.5" customHeight="1" x14ac:dyDescent="0.15">
      <c r="A47" s="1">
        <v>47</v>
      </c>
      <c r="B47" s="26" t="s">
        <v>35</v>
      </c>
      <c r="C47" s="48" t="s">
        <v>438</v>
      </c>
      <c r="D47" s="210" t="s">
        <v>70</v>
      </c>
      <c r="E47" s="88" t="s">
        <v>423</v>
      </c>
      <c r="F47" s="43" t="s">
        <v>421</v>
      </c>
      <c r="G47" s="43" t="s">
        <v>403</v>
      </c>
      <c r="H47" s="28">
        <v>2.488425925925926E-3</v>
      </c>
      <c r="I47" s="88" t="s">
        <v>399</v>
      </c>
      <c r="J47" s="88" t="s">
        <v>400</v>
      </c>
      <c r="K47" s="1"/>
      <c r="L47" s="1"/>
      <c r="M47" s="28">
        <v>2.488425925925926E-3</v>
      </c>
      <c r="N47" s="1"/>
      <c r="O47" s="1"/>
      <c r="P47" s="2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x14ac:dyDescent="0.15">
      <c r="A48" s="1">
        <v>48</v>
      </c>
      <c r="B48" s="58"/>
      <c r="C48" s="59"/>
      <c r="D48" s="59"/>
      <c r="E48" s="62" t="s">
        <v>50</v>
      </c>
      <c r="F48" s="61" t="s">
        <v>58</v>
      </c>
      <c r="G48" s="60"/>
      <c r="H48" s="60"/>
      <c r="I48" s="60"/>
      <c r="J48" s="24"/>
      <c r="K48" s="1"/>
      <c r="L48" s="1"/>
      <c r="M48" s="6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52.5" customHeight="1" x14ac:dyDescent="0.15">
      <c r="A49" s="1">
        <v>49</v>
      </c>
      <c r="B49" s="80" t="s">
        <v>36</v>
      </c>
      <c r="C49" s="82" t="s">
        <v>83</v>
      </c>
      <c r="D49" s="82" t="s">
        <v>73</v>
      </c>
      <c r="E49" s="79"/>
      <c r="F49" s="79"/>
      <c r="G49" s="79"/>
      <c r="H49" s="314">
        <v>2.0833333333333333E-3</v>
      </c>
      <c r="I49" s="86"/>
      <c r="J49" s="86"/>
      <c r="K49" s="1"/>
      <c r="L49" s="1"/>
      <c r="M49" s="314">
        <v>2.0833333333333333E-3</v>
      </c>
      <c r="N49" s="1"/>
      <c r="O49" s="1"/>
      <c r="P49" s="6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" customHeight="1" x14ac:dyDescent="0.15">
      <c r="A50" s="1">
        <v>50</v>
      </c>
      <c r="B50" s="51"/>
      <c r="C50" s="55"/>
      <c r="D50" s="55"/>
      <c r="E50" s="56"/>
      <c r="F50" s="95"/>
      <c r="G50" s="52"/>
      <c r="H50" s="53"/>
      <c r="I50" s="52"/>
      <c r="J50" s="54"/>
      <c r="K50" s="1"/>
      <c r="L50" s="1"/>
      <c r="M50" s="5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90.75" customHeight="1" x14ac:dyDescent="0.15">
      <c r="A51" s="1">
        <v>51</v>
      </c>
      <c r="B51" s="26" t="s">
        <v>37</v>
      </c>
      <c r="C51" s="48" t="s">
        <v>439</v>
      </c>
      <c r="D51" s="210" t="s">
        <v>634</v>
      </c>
      <c r="E51" s="88" t="s">
        <v>422</v>
      </c>
      <c r="F51" s="43" t="s">
        <v>417</v>
      </c>
      <c r="G51" s="43" t="s">
        <v>406</v>
      </c>
      <c r="H51" s="28">
        <v>2.4074074074074076E-3</v>
      </c>
      <c r="I51" s="88" t="s">
        <v>404</v>
      </c>
      <c r="J51" s="88" t="s">
        <v>405</v>
      </c>
      <c r="K51" s="1"/>
      <c r="L51" s="1"/>
      <c r="M51" s="258">
        <v>2.4189814814814816E-3</v>
      </c>
      <c r="N51" s="334" t="s">
        <v>635</v>
      </c>
      <c r="O51" s="1"/>
      <c r="P51" s="25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15">
      <c r="A52" s="1">
        <v>52</v>
      </c>
      <c r="B52" s="58"/>
      <c r="C52" s="59"/>
      <c r="D52" s="59"/>
      <c r="E52" s="62" t="s">
        <v>50</v>
      </c>
      <c r="F52" s="61" t="s">
        <v>58</v>
      </c>
      <c r="G52" s="60"/>
      <c r="H52" s="60"/>
      <c r="I52" s="60"/>
      <c r="J52" s="24"/>
      <c r="K52" s="1"/>
      <c r="L52" s="1"/>
      <c r="M52" s="6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84" x14ac:dyDescent="0.15">
      <c r="A53" s="1">
        <v>53</v>
      </c>
      <c r="B53" s="17" t="s">
        <v>38</v>
      </c>
      <c r="C53" s="50" t="s">
        <v>91</v>
      </c>
      <c r="D53" s="50" t="s">
        <v>74</v>
      </c>
      <c r="E53" s="16" t="s">
        <v>649</v>
      </c>
      <c r="F53" s="16" t="s">
        <v>421</v>
      </c>
      <c r="G53" s="16" t="s">
        <v>645</v>
      </c>
      <c r="H53" s="314">
        <v>3.5416666666666665E-3</v>
      </c>
      <c r="I53" s="90" t="s">
        <v>650</v>
      </c>
      <c r="J53" s="90" t="s">
        <v>651</v>
      </c>
      <c r="K53" s="1"/>
      <c r="L53" s="1"/>
      <c r="M53" s="314">
        <v>3.5416666666666665E-3</v>
      </c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8.5" customHeight="1" x14ac:dyDescent="0.15">
      <c r="A54" s="1">
        <v>54</v>
      </c>
      <c r="B54" s="51"/>
      <c r="C54" s="55"/>
      <c r="D54" s="55"/>
      <c r="E54" s="56" t="s">
        <v>50</v>
      </c>
      <c r="F54" s="343" t="s">
        <v>576</v>
      </c>
      <c r="G54" s="343"/>
      <c r="H54" s="53"/>
      <c r="I54" s="52"/>
      <c r="J54" s="54"/>
      <c r="K54" s="1"/>
      <c r="L54" s="1"/>
      <c r="M54" s="5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11" customHeight="1" x14ac:dyDescent="0.15">
      <c r="A55" s="1">
        <v>55</v>
      </c>
      <c r="B55" s="26" t="s">
        <v>39</v>
      </c>
      <c r="C55" s="48" t="s">
        <v>440</v>
      </c>
      <c r="D55" s="49" t="s">
        <v>394</v>
      </c>
      <c r="E55" s="43" t="s">
        <v>456</v>
      </c>
      <c r="F55" s="43" t="s">
        <v>417</v>
      </c>
      <c r="G55" s="27"/>
      <c r="H55" s="28">
        <v>3.2407407407407406E-3</v>
      </c>
      <c r="I55" s="88" t="s">
        <v>407</v>
      </c>
      <c r="J55" s="88" t="s">
        <v>408</v>
      </c>
      <c r="K55" s="1"/>
      <c r="L55" s="1"/>
      <c r="M55" s="28">
        <v>3.2407407407407406E-3</v>
      </c>
      <c r="N55" s="1"/>
      <c r="O55" s="1"/>
      <c r="P55" s="6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x14ac:dyDescent="0.15">
      <c r="A56" s="1">
        <v>56</v>
      </c>
      <c r="B56" s="58"/>
      <c r="C56" s="59"/>
      <c r="D56" s="59"/>
      <c r="E56" s="62" t="s">
        <v>50</v>
      </c>
      <c r="F56" s="61" t="s">
        <v>58</v>
      </c>
      <c r="G56" s="60"/>
      <c r="H56" s="60"/>
      <c r="I56" s="60"/>
      <c r="J56" s="24"/>
      <c r="K56" s="1"/>
      <c r="L56" s="1"/>
      <c r="M56" s="6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72" x14ac:dyDescent="0.15">
      <c r="A57" s="1">
        <v>57</v>
      </c>
      <c r="B57" s="17" t="s">
        <v>40</v>
      </c>
      <c r="C57" s="50" t="s">
        <v>88</v>
      </c>
      <c r="D57" s="50" t="s">
        <v>75</v>
      </c>
      <c r="E57" s="16" t="s">
        <v>652</v>
      </c>
      <c r="F57" s="16" t="s">
        <v>421</v>
      </c>
      <c r="G57" s="16" t="s">
        <v>653</v>
      </c>
      <c r="H57" s="314">
        <v>2.8935185185185184E-3</v>
      </c>
      <c r="I57" s="90" t="s">
        <v>654</v>
      </c>
      <c r="J57" s="90" t="s">
        <v>655</v>
      </c>
      <c r="K57" s="1"/>
      <c r="L57" s="1"/>
      <c r="M57" s="314">
        <v>2.8935185185185184E-3</v>
      </c>
      <c r="N57" s="1"/>
      <c r="O57" s="1"/>
      <c r="P57" s="25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5.5" customHeight="1" x14ac:dyDescent="0.15">
      <c r="A58" s="1">
        <v>58</v>
      </c>
      <c r="B58" s="51"/>
      <c r="C58" s="55"/>
      <c r="D58" s="55"/>
      <c r="E58" s="56" t="s">
        <v>50</v>
      </c>
      <c r="F58" s="343" t="s">
        <v>579</v>
      </c>
      <c r="G58" s="343"/>
      <c r="H58" s="53"/>
      <c r="I58" s="52"/>
      <c r="J58" s="54"/>
      <c r="K58" s="1"/>
      <c r="L58" s="1"/>
      <c r="M58" s="5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52.5" customHeight="1" x14ac:dyDescent="0.15">
      <c r="A59" s="1">
        <v>59</v>
      </c>
      <c r="B59" s="26" t="s">
        <v>41</v>
      </c>
      <c r="C59" s="48" t="s">
        <v>441</v>
      </c>
      <c r="D59" s="210" t="s">
        <v>48</v>
      </c>
      <c r="E59" s="208" t="s">
        <v>431</v>
      </c>
      <c r="F59" s="43" t="s">
        <v>417</v>
      </c>
      <c r="G59" s="43" t="s">
        <v>411</v>
      </c>
      <c r="H59" s="28">
        <v>3.0092592592592593E-3</v>
      </c>
      <c r="I59" s="88" t="s">
        <v>409</v>
      </c>
      <c r="J59" s="88" t="s">
        <v>410</v>
      </c>
      <c r="K59" s="1"/>
      <c r="L59" s="1"/>
      <c r="M59" s="28">
        <v>3.0092592592592593E-3</v>
      </c>
      <c r="N59" s="1"/>
      <c r="O59" s="1"/>
      <c r="P59" s="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x14ac:dyDescent="0.15">
      <c r="A60" s="1">
        <v>60</v>
      </c>
      <c r="B60" s="58"/>
      <c r="C60" s="59"/>
      <c r="D60" s="59"/>
      <c r="E60" s="62" t="s">
        <v>50</v>
      </c>
      <c r="F60" s="61" t="s">
        <v>58</v>
      </c>
      <c r="G60" s="60"/>
      <c r="H60" s="60"/>
      <c r="I60" s="60"/>
      <c r="J60" s="24"/>
      <c r="K60" s="1"/>
      <c r="L60" s="1"/>
      <c r="M60" s="6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52.5" customHeight="1" x14ac:dyDescent="0.15">
      <c r="A61" s="1">
        <v>61</v>
      </c>
      <c r="B61" s="99" t="s">
        <v>42</v>
      </c>
      <c r="C61" s="82" t="s">
        <v>79</v>
      </c>
      <c r="D61" s="82" t="s">
        <v>78</v>
      </c>
      <c r="E61" s="79"/>
      <c r="F61" s="79"/>
      <c r="G61" s="79"/>
      <c r="H61" s="314">
        <v>2.0833333333333333E-3</v>
      </c>
      <c r="I61" s="86"/>
      <c r="J61" s="86"/>
      <c r="K61" s="1"/>
      <c r="L61" s="1"/>
      <c r="M61" s="314">
        <v>2.0833333333333333E-3</v>
      </c>
      <c r="N61" s="1"/>
      <c r="O61" s="1"/>
      <c r="P61" s="6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" customHeight="1" x14ac:dyDescent="0.15">
      <c r="A62" s="1">
        <v>62</v>
      </c>
      <c r="B62" s="51"/>
      <c r="C62" s="55"/>
      <c r="D62" s="55"/>
      <c r="E62" s="56"/>
      <c r="F62" s="95"/>
      <c r="G62" s="52"/>
      <c r="H62" s="53"/>
      <c r="I62" s="52"/>
      <c r="J62" s="54"/>
      <c r="K62" s="1"/>
      <c r="L62" s="1"/>
      <c r="M62" s="5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89.25" customHeight="1" x14ac:dyDescent="0.15">
      <c r="A63" s="1">
        <v>63</v>
      </c>
      <c r="B63" s="105" t="s">
        <v>43</v>
      </c>
      <c r="C63" s="48" t="s">
        <v>442</v>
      </c>
      <c r="D63" s="210" t="s">
        <v>62</v>
      </c>
      <c r="E63" s="208" t="s">
        <v>457</v>
      </c>
      <c r="F63" s="43" t="s">
        <v>417</v>
      </c>
      <c r="G63" s="43" t="s">
        <v>434</v>
      </c>
      <c r="H63" s="28">
        <v>1.9097222222222222E-3</v>
      </c>
      <c r="I63" s="88" t="s">
        <v>412</v>
      </c>
      <c r="J63" s="88" t="s">
        <v>413</v>
      </c>
      <c r="K63" s="1"/>
      <c r="L63" s="1"/>
      <c r="M63" s="258">
        <v>1.9212962962962964E-3</v>
      </c>
      <c r="N63" s="1"/>
      <c r="O63" s="1"/>
      <c r="P63" s="25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" customHeight="1" x14ac:dyDescent="0.15">
      <c r="A64" s="1">
        <v>64</v>
      </c>
      <c r="B64" s="58"/>
      <c r="C64" s="59"/>
      <c r="D64" s="59"/>
      <c r="E64" s="62"/>
      <c r="F64" s="61"/>
      <c r="G64" s="60"/>
      <c r="H64" s="60"/>
      <c r="I64" s="60"/>
      <c r="J64" s="24"/>
      <c r="K64" s="1"/>
      <c r="L64" s="1"/>
      <c r="M64" s="6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52.5" customHeight="1" x14ac:dyDescent="0.15">
      <c r="A65" s="1">
        <v>65</v>
      </c>
      <c r="B65" s="106" t="s">
        <v>76</v>
      </c>
      <c r="C65" s="81" t="s">
        <v>443</v>
      </c>
      <c r="D65" s="81" t="s">
        <v>49</v>
      </c>
      <c r="E65" s="218" t="s">
        <v>371</v>
      </c>
      <c r="F65" s="103"/>
      <c r="G65" s="103"/>
      <c r="H65" s="336">
        <v>2.0833333333333333E-3</v>
      </c>
      <c r="I65" s="104" t="s">
        <v>459</v>
      </c>
      <c r="J65" s="104" t="s">
        <v>460</v>
      </c>
      <c r="K65" s="1"/>
      <c r="L65" s="1"/>
      <c r="M65" s="259">
        <v>1.9097222222222222E-3</v>
      </c>
      <c r="N65" s="1"/>
      <c r="O65" s="1"/>
      <c r="P65" s="2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15">
      <c r="A66" s="1">
        <v>66</v>
      </c>
      <c r="B66" s="51"/>
      <c r="C66" s="55"/>
      <c r="D66" s="55"/>
      <c r="E66" s="56" t="s">
        <v>50</v>
      </c>
      <c r="F66" s="95" t="s">
        <v>58</v>
      </c>
      <c r="G66" s="52"/>
      <c r="H66" s="217" t="s">
        <v>458</v>
      </c>
      <c r="I66" s="52"/>
      <c r="J66" s="54"/>
      <c r="K66" s="1"/>
      <c r="L66" s="1"/>
      <c r="M66" s="217" t="s">
        <v>458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2" x14ac:dyDescent="0.15">
      <c r="A67" s="1">
        <v>67</v>
      </c>
      <c r="B67" s="26" t="s">
        <v>44</v>
      </c>
      <c r="C67" s="100" t="s">
        <v>80</v>
      </c>
      <c r="D67" s="100" t="s">
        <v>77</v>
      </c>
      <c r="E67" s="101" t="s">
        <v>656</v>
      </c>
      <c r="F67" s="101" t="s">
        <v>421</v>
      </c>
      <c r="G67" s="101" t="s">
        <v>657</v>
      </c>
      <c r="H67" s="318">
        <v>4.9768518518518521E-3</v>
      </c>
      <c r="I67" s="102" t="s">
        <v>658</v>
      </c>
      <c r="J67" s="102" t="s">
        <v>659</v>
      </c>
      <c r="K67" s="1"/>
      <c r="L67" s="1"/>
      <c r="M67" s="318">
        <v>4.9768518518518521E-3</v>
      </c>
      <c r="N67" s="1"/>
      <c r="O67" s="1"/>
      <c r="P67" s="25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15">
      <c r="A68" s="1">
        <v>68</v>
      </c>
      <c r="B68" s="96" t="s">
        <v>475</v>
      </c>
      <c r="C68" s="69" t="s">
        <v>14</v>
      </c>
      <c r="D68" s="74"/>
      <c r="E68" s="75" t="s">
        <v>27</v>
      </c>
      <c r="F68" s="74"/>
      <c r="G68" s="19"/>
      <c r="H68" s="22"/>
      <c r="I68" s="72"/>
      <c r="J68" s="73"/>
      <c r="K68" s="1"/>
      <c r="L68" s="1"/>
      <c r="M68" s="22"/>
      <c r="N68" s="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5.5" customHeight="1" x14ac:dyDescent="0.15">
      <c r="A69" s="1">
        <v>69</v>
      </c>
      <c r="B69" s="51"/>
      <c r="C69" s="319"/>
      <c r="D69" s="319"/>
      <c r="E69" s="320" t="s">
        <v>50</v>
      </c>
      <c r="F69" s="344" t="s">
        <v>577</v>
      </c>
      <c r="G69" s="344"/>
      <c r="H69" s="64"/>
      <c r="I69" s="64"/>
      <c r="J69" s="54"/>
      <c r="K69" s="1"/>
      <c r="L69" s="1"/>
      <c r="M69" s="6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x14ac:dyDescent="0.15">
      <c r="A70" s="1">
        <v>70</v>
      </c>
      <c r="B70" s="18"/>
      <c r="C70" s="69" t="s">
        <v>14</v>
      </c>
      <c r="D70" s="74"/>
      <c r="E70" s="75" t="s">
        <v>15</v>
      </c>
      <c r="F70" s="74"/>
      <c r="G70" s="19"/>
      <c r="H70" s="22"/>
      <c r="I70" s="72"/>
      <c r="J70" s="73"/>
      <c r="K70" s="1"/>
      <c r="L70" s="1"/>
      <c r="M70" s="22"/>
      <c r="N70" s="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52.5" customHeight="1" x14ac:dyDescent="0.15">
      <c r="A71" s="1">
        <v>71</v>
      </c>
      <c r="B71" s="106" t="s">
        <v>81</v>
      </c>
      <c r="C71" s="256" t="s">
        <v>45</v>
      </c>
      <c r="D71" s="256" t="s">
        <v>46</v>
      </c>
      <c r="E71" s="103" t="s">
        <v>47</v>
      </c>
      <c r="F71" s="218"/>
      <c r="G71" s="218" t="s">
        <v>395</v>
      </c>
      <c r="H71" s="255">
        <v>3.1597222222222222E-3</v>
      </c>
      <c r="I71" s="104" t="s">
        <v>86</v>
      </c>
      <c r="J71" s="104" t="s">
        <v>87</v>
      </c>
      <c r="K71" s="1"/>
      <c r="L71" s="1"/>
      <c r="M71" s="255">
        <v>3.1597222222222222E-3</v>
      </c>
      <c r="N71" s="1"/>
      <c r="O71" s="1"/>
      <c r="P71" s="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15">
      <c r="A72" s="1">
        <v>72</v>
      </c>
      <c r="B72" s="18"/>
      <c r="C72" s="69" t="s">
        <v>14</v>
      </c>
      <c r="D72" s="74"/>
      <c r="E72" s="75" t="s">
        <v>27</v>
      </c>
      <c r="F72" s="74"/>
      <c r="G72" s="19"/>
      <c r="H72" s="22"/>
      <c r="I72" s="72"/>
      <c r="J72" s="73"/>
      <c r="K72" s="1"/>
      <c r="L72" s="1"/>
      <c r="M72" s="22"/>
      <c r="N72" s="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" customHeight="1" x14ac:dyDescent="0.15">
      <c r="A73" s="1"/>
      <c r="B73" s="1"/>
      <c r="C73" s="38"/>
      <c r="D73" s="39"/>
      <c r="E73" s="38"/>
      <c r="F73" s="38"/>
      <c r="G73" s="39"/>
      <c r="H73" s="40"/>
      <c r="I73" s="41"/>
      <c r="J73" s="41"/>
      <c r="K73" s="1"/>
      <c r="L73" s="1"/>
      <c r="M73" s="4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" customHeight="1" x14ac:dyDescent="0.15">
      <c r="A74" s="1"/>
      <c r="B74" s="1"/>
      <c r="C74" s="14"/>
      <c r="D74" s="15"/>
      <c r="E74" s="29"/>
      <c r="F74" s="13"/>
      <c r="G74" s="15"/>
      <c r="H74" s="15"/>
      <c r="I74" s="8"/>
      <c r="J74" s="5"/>
      <c r="K74" s="1"/>
      <c r="L74" s="1"/>
      <c r="M74" s="1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" customHeight="1" x14ac:dyDescent="0.15">
      <c r="A75" s="1"/>
      <c r="B75" s="1"/>
      <c r="C75" s="14"/>
      <c r="D75" s="15"/>
      <c r="E75" s="29"/>
      <c r="F75" s="13"/>
      <c r="G75" s="15"/>
      <c r="H75" s="15"/>
      <c r="I75" s="8"/>
      <c r="J75" s="5"/>
      <c r="K75" s="1"/>
      <c r="L75" s="1"/>
      <c r="M75" s="1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" customHeight="1" x14ac:dyDescent="0.15">
      <c r="A76" s="1"/>
      <c r="B76" s="1"/>
      <c r="C76" s="5"/>
      <c r="D76" s="1"/>
      <c r="E76" s="1"/>
      <c r="F76" s="1"/>
      <c r="G76" s="1"/>
      <c r="H76" s="2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" customHeight="1" x14ac:dyDescent="0.15">
      <c r="A77" s="1"/>
      <c r="B77" s="1"/>
      <c r="C77" s="42"/>
      <c r="D77" s="1"/>
      <c r="E77" s="1"/>
      <c r="F77" s="1"/>
      <c r="G77" s="1"/>
      <c r="H77" s="2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" customHeight="1" x14ac:dyDescent="0.15">
      <c r="A78" s="1"/>
      <c r="B78" s="1"/>
      <c r="C78" s="13"/>
      <c r="D78" s="1"/>
      <c r="E78" s="1"/>
      <c r="F78" s="1"/>
      <c r="G78" s="1"/>
      <c r="H78" s="2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" customHeight="1" x14ac:dyDescent="0.15">
      <c r="A79" s="1"/>
      <c r="B79" s="1"/>
      <c r="C79" s="14"/>
      <c r="D79" s="1"/>
      <c r="E79" s="1"/>
      <c r="F79" s="1"/>
      <c r="G79" s="1"/>
      <c r="H79" s="2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" customHeight="1" x14ac:dyDescent="0.15">
      <c r="A80" s="1"/>
      <c r="B80" s="1"/>
      <c r="C80" s="30"/>
      <c r="D80" s="1"/>
      <c r="E80" s="1"/>
      <c r="F80" s="1"/>
      <c r="G80" s="1"/>
      <c r="H80" s="2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" customHeight="1" x14ac:dyDescent="0.15">
      <c r="A81" s="1"/>
      <c r="B81" s="1"/>
      <c r="C81" s="15"/>
      <c r="D81" s="1"/>
      <c r="E81" s="1"/>
      <c r="F81" s="1"/>
      <c r="G81" s="1"/>
      <c r="H81" s="2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" customHeight="1" x14ac:dyDescent="0.15">
      <c r="A82" s="1"/>
      <c r="B82" s="1"/>
      <c r="C82" s="15"/>
      <c r="D82" s="1"/>
      <c r="E82" s="1"/>
      <c r="F82" s="1"/>
      <c r="G82" s="1"/>
      <c r="H82" s="2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" customHeight="1" x14ac:dyDescent="0.15">
      <c r="A83" s="1"/>
      <c r="B83" s="1"/>
      <c r="C83" s="15"/>
      <c r="D83" s="1"/>
      <c r="E83" s="1"/>
      <c r="F83" s="1"/>
      <c r="G83" s="1"/>
      <c r="H83" s="2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" customHeight="1" x14ac:dyDescent="0.15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" customHeight="1" x14ac:dyDescent="0.1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" customHeight="1" x14ac:dyDescent="0.15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" customHeight="1" x14ac:dyDescent="0.15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" customHeight="1" x14ac:dyDescent="0.15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" customHeight="1" x14ac:dyDescent="0.15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" customHeight="1" x14ac:dyDescent="0.15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" customHeight="1" x14ac:dyDescent="0.15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" customHeight="1" x14ac:dyDescent="0.15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" customHeight="1" x14ac:dyDescent="0.15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" customHeight="1" x14ac:dyDescent="0.15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" customHeight="1" x14ac:dyDescent="0.1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" customHeight="1" x14ac:dyDescent="0.15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" customHeight="1" x14ac:dyDescent="0.15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" customHeight="1" x14ac:dyDescent="0.15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" customHeight="1" x14ac:dyDescent="0.15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" customHeight="1" x14ac:dyDescent="0.15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" customHeight="1" x14ac:dyDescent="0.15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" customHeight="1" x14ac:dyDescent="0.15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" customHeight="1" x14ac:dyDescent="0.15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" customHeight="1" x14ac:dyDescent="0.15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" customHeight="1" x14ac:dyDescent="0.1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" customHeight="1" x14ac:dyDescent="0.15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" customHeight="1" x14ac:dyDescent="0.15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" customHeight="1" x14ac:dyDescent="0.15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" customHeight="1" x14ac:dyDescent="0.15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" customHeight="1" x14ac:dyDescent="0.15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" customHeight="1" x14ac:dyDescent="0.15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" customHeight="1" x14ac:dyDescent="0.15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" customHeight="1" x14ac:dyDescent="0.15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" customHeight="1" x14ac:dyDescent="0.15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" customHeight="1" x14ac:dyDescent="0.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" customHeight="1" x14ac:dyDescent="0.15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" customHeight="1" x14ac:dyDescent="0.15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" customHeight="1" x14ac:dyDescent="0.15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" customHeight="1" x14ac:dyDescent="0.15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" customHeight="1" x14ac:dyDescent="0.15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" customHeight="1" x14ac:dyDescent="0.15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" customHeight="1" x14ac:dyDescent="0.15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" customHeight="1" x14ac:dyDescent="0.15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" customHeight="1" x14ac:dyDescent="0.15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" customHeight="1" x14ac:dyDescent="0.1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" customHeight="1" x14ac:dyDescent="0.15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" customHeight="1" x14ac:dyDescent="0.15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" customHeight="1" x14ac:dyDescent="0.15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" customHeight="1" x14ac:dyDescent="0.15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" customHeight="1" x14ac:dyDescent="0.15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" customHeight="1" x14ac:dyDescent="0.15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" customHeight="1" x14ac:dyDescent="0.15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" customHeight="1" x14ac:dyDescent="0.15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" customHeight="1" x14ac:dyDescent="0.15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" customHeight="1" x14ac:dyDescent="0.1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" customHeight="1" x14ac:dyDescent="0.15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" customHeight="1" x14ac:dyDescent="0.15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" customHeight="1" x14ac:dyDescent="0.15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" customHeight="1" x14ac:dyDescent="0.15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" customHeight="1" x14ac:dyDescent="0.15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" customHeight="1" x14ac:dyDescent="0.15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" customHeight="1" x14ac:dyDescent="0.15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" customHeight="1" x14ac:dyDescent="0.15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" customHeight="1" x14ac:dyDescent="0.15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" customHeight="1" x14ac:dyDescent="0.1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" customHeight="1" x14ac:dyDescent="0.15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" customHeight="1" x14ac:dyDescent="0.15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" customHeight="1" x14ac:dyDescent="0.15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" customHeight="1" x14ac:dyDescent="0.15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" customHeight="1" x14ac:dyDescent="0.15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" customHeight="1" x14ac:dyDescent="0.15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" customHeight="1" x14ac:dyDescent="0.15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" customHeight="1" x14ac:dyDescent="0.15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" customHeight="1" x14ac:dyDescent="0.15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" customHeight="1" x14ac:dyDescent="0.1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" customHeight="1" x14ac:dyDescent="0.15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" customHeight="1" x14ac:dyDescent="0.15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" customHeight="1" x14ac:dyDescent="0.15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" customHeight="1" x14ac:dyDescent="0.15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" customHeight="1" x14ac:dyDescent="0.15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" customHeight="1" x14ac:dyDescent="0.15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" customHeight="1" x14ac:dyDescent="0.15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" customHeight="1" x14ac:dyDescent="0.15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" customHeight="1" x14ac:dyDescent="0.15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" customHeight="1" x14ac:dyDescent="0.1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" customHeight="1" x14ac:dyDescent="0.15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" customHeight="1" x14ac:dyDescent="0.15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" customHeight="1" x14ac:dyDescent="0.15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" customHeight="1" x14ac:dyDescent="0.15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" customHeight="1" x14ac:dyDescent="0.15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" customHeight="1" x14ac:dyDescent="0.15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" customHeight="1" x14ac:dyDescent="0.15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" customHeight="1" x14ac:dyDescent="0.15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" customHeight="1" x14ac:dyDescent="0.15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" customHeight="1" x14ac:dyDescent="0.1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" customHeight="1" x14ac:dyDescent="0.15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" customHeight="1" x14ac:dyDescent="0.15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" customHeight="1" x14ac:dyDescent="0.15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" customHeight="1" x14ac:dyDescent="0.15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" customHeight="1" x14ac:dyDescent="0.15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" customHeight="1" x14ac:dyDescent="0.15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" customHeight="1" x14ac:dyDescent="0.15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" customHeight="1" x14ac:dyDescent="0.15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" customHeight="1" x14ac:dyDescent="0.15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" customHeight="1" x14ac:dyDescent="0.1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" customHeight="1" x14ac:dyDescent="0.15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" customHeight="1" x14ac:dyDescent="0.15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" customHeight="1" x14ac:dyDescent="0.15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" customHeight="1" x14ac:dyDescent="0.15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" customHeight="1" x14ac:dyDescent="0.15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" customHeight="1" x14ac:dyDescent="0.15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" customHeight="1" x14ac:dyDescent="0.15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" customHeight="1" x14ac:dyDescent="0.15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" customHeight="1" x14ac:dyDescent="0.15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" customHeight="1" x14ac:dyDescent="0.1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" customHeight="1" x14ac:dyDescent="0.15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" customHeight="1" x14ac:dyDescent="0.15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" customHeight="1" x14ac:dyDescent="0.15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" customHeight="1" x14ac:dyDescent="0.15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" customHeight="1" x14ac:dyDescent="0.15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" customHeight="1" x14ac:dyDescent="0.15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" customHeight="1" x14ac:dyDescent="0.15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" customHeight="1" x14ac:dyDescent="0.15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" customHeight="1" x14ac:dyDescent="0.15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" customHeight="1" x14ac:dyDescent="0.1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" customHeight="1" x14ac:dyDescent="0.15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" customHeight="1" x14ac:dyDescent="0.15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" customHeight="1" x14ac:dyDescent="0.15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" customHeight="1" x14ac:dyDescent="0.15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" customHeight="1" x14ac:dyDescent="0.15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" customHeight="1" x14ac:dyDescent="0.15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" customHeight="1" x14ac:dyDescent="0.15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" customHeight="1" x14ac:dyDescent="0.15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" customHeight="1" x14ac:dyDescent="0.15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" customHeight="1" x14ac:dyDescent="0.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" customHeight="1" x14ac:dyDescent="0.15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" customHeight="1" x14ac:dyDescent="0.15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" customHeight="1" x14ac:dyDescent="0.15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" customHeight="1" x14ac:dyDescent="0.15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" customHeight="1" x14ac:dyDescent="0.15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" customHeight="1" x14ac:dyDescent="0.15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" customHeight="1" x14ac:dyDescent="0.15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" customHeight="1" x14ac:dyDescent="0.15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" customHeight="1" x14ac:dyDescent="0.15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" customHeight="1" x14ac:dyDescent="0.1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" customHeight="1" x14ac:dyDescent="0.15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" customHeight="1" x14ac:dyDescent="0.15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" customHeight="1" x14ac:dyDescent="0.15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" customHeight="1" x14ac:dyDescent="0.15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" customHeight="1" x14ac:dyDescent="0.15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" customHeight="1" x14ac:dyDescent="0.15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" customHeight="1" x14ac:dyDescent="0.15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" customHeight="1" x14ac:dyDescent="0.15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" customHeight="1" x14ac:dyDescent="0.15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" customHeight="1" x14ac:dyDescent="0.1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" customHeight="1" x14ac:dyDescent="0.15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" customHeight="1" x14ac:dyDescent="0.15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" customHeight="1" x14ac:dyDescent="0.15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" customHeight="1" x14ac:dyDescent="0.15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" customHeight="1" x14ac:dyDescent="0.15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" customHeight="1" x14ac:dyDescent="0.15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" customHeight="1" x14ac:dyDescent="0.15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" customHeight="1" x14ac:dyDescent="0.15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" customHeight="1" x14ac:dyDescent="0.15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" customHeight="1" x14ac:dyDescent="0.1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" customHeight="1" x14ac:dyDescent="0.15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" customHeight="1" x14ac:dyDescent="0.15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" customHeight="1" x14ac:dyDescent="0.15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" customHeight="1" x14ac:dyDescent="0.15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" customHeight="1" x14ac:dyDescent="0.15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" customHeight="1" x14ac:dyDescent="0.15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" customHeight="1" x14ac:dyDescent="0.15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" customHeight="1" x14ac:dyDescent="0.15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" customHeight="1" x14ac:dyDescent="0.15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" customHeight="1" x14ac:dyDescent="0.1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" customHeight="1" x14ac:dyDescent="0.15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" customHeight="1" x14ac:dyDescent="0.15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" customHeight="1" x14ac:dyDescent="0.15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" customHeight="1" x14ac:dyDescent="0.15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" customHeight="1" x14ac:dyDescent="0.15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" customHeight="1" x14ac:dyDescent="0.15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" customHeight="1" x14ac:dyDescent="0.15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" customHeight="1" x14ac:dyDescent="0.15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" customHeight="1" x14ac:dyDescent="0.15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" customHeight="1" x14ac:dyDescent="0.1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" customHeight="1" x14ac:dyDescent="0.15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" customHeight="1" x14ac:dyDescent="0.15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" customHeight="1" x14ac:dyDescent="0.15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" customHeight="1" x14ac:dyDescent="0.15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" customHeight="1" x14ac:dyDescent="0.15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" customHeight="1" x14ac:dyDescent="0.15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" customHeight="1" x14ac:dyDescent="0.15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" customHeight="1" x14ac:dyDescent="0.15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" customHeight="1" x14ac:dyDescent="0.15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" customHeight="1" x14ac:dyDescent="0.1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" customHeight="1" x14ac:dyDescent="0.15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" customHeight="1" x14ac:dyDescent="0.15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" customHeight="1" x14ac:dyDescent="0.15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" customHeight="1" x14ac:dyDescent="0.15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" customHeight="1" x14ac:dyDescent="0.15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" customHeight="1" x14ac:dyDescent="0.15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" customHeight="1" x14ac:dyDescent="0.15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" customHeight="1" x14ac:dyDescent="0.15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" customHeight="1" x14ac:dyDescent="0.15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" customHeight="1" x14ac:dyDescent="0.1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" customHeight="1" x14ac:dyDescent="0.15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" customHeight="1" x14ac:dyDescent="0.15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" customHeight="1" x14ac:dyDescent="0.15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" customHeight="1" x14ac:dyDescent="0.15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" customHeight="1" x14ac:dyDescent="0.15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" customHeight="1" x14ac:dyDescent="0.15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" customHeight="1" x14ac:dyDescent="0.15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" customHeight="1" x14ac:dyDescent="0.15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" customHeight="1" x14ac:dyDescent="0.15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" customHeight="1" x14ac:dyDescent="0.1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" customHeight="1" x14ac:dyDescent="0.15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" customHeight="1" x14ac:dyDescent="0.15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" customHeight="1" x14ac:dyDescent="0.15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" customHeight="1" x14ac:dyDescent="0.15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" customHeight="1" x14ac:dyDescent="0.15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" customHeight="1" x14ac:dyDescent="0.15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" customHeight="1" x14ac:dyDescent="0.15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" customHeight="1" x14ac:dyDescent="0.15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" customHeight="1" x14ac:dyDescent="0.15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" customHeight="1" x14ac:dyDescent="0.1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" customHeight="1" x14ac:dyDescent="0.15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" customHeight="1" x14ac:dyDescent="0.15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" customHeight="1" x14ac:dyDescent="0.15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" customHeight="1" x14ac:dyDescent="0.15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" customHeight="1" x14ac:dyDescent="0.15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" customHeight="1" x14ac:dyDescent="0.15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" customHeight="1" x14ac:dyDescent="0.15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" customHeight="1" x14ac:dyDescent="0.15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" customHeight="1" x14ac:dyDescent="0.15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" customHeight="1" x14ac:dyDescent="0.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" customHeight="1" x14ac:dyDescent="0.15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" customHeight="1" x14ac:dyDescent="0.15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" customHeight="1" x14ac:dyDescent="0.15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" customHeight="1" x14ac:dyDescent="0.15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" customHeight="1" x14ac:dyDescent="0.15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" customHeight="1" x14ac:dyDescent="0.15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" customHeight="1" x14ac:dyDescent="0.15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" customHeight="1" x14ac:dyDescent="0.15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" customHeight="1" x14ac:dyDescent="0.15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" customHeight="1" x14ac:dyDescent="0.1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" customHeight="1" x14ac:dyDescent="0.15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" customHeight="1" x14ac:dyDescent="0.15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" customHeight="1" x14ac:dyDescent="0.15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" customHeight="1" x14ac:dyDescent="0.15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" customHeight="1" x14ac:dyDescent="0.15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" customHeight="1" x14ac:dyDescent="0.15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" customHeight="1" x14ac:dyDescent="0.15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" customHeight="1" x14ac:dyDescent="0.15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" customHeight="1" x14ac:dyDescent="0.15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" customHeight="1" x14ac:dyDescent="0.1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" customHeight="1" x14ac:dyDescent="0.15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" customHeight="1" x14ac:dyDescent="0.15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" customHeight="1" x14ac:dyDescent="0.15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" customHeight="1" x14ac:dyDescent="0.15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" customHeight="1" x14ac:dyDescent="0.15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" customHeight="1" x14ac:dyDescent="0.15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" customHeight="1" x14ac:dyDescent="0.15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" customHeight="1" x14ac:dyDescent="0.15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" customHeight="1" x14ac:dyDescent="0.15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" customHeight="1" x14ac:dyDescent="0.1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" customHeight="1" x14ac:dyDescent="0.15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" customHeight="1" x14ac:dyDescent="0.15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" customHeight="1" x14ac:dyDescent="0.15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" customHeight="1" x14ac:dyDescent="0.15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" customHeight="1" x14ac:dyDescent="0.15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" customHeight="1" x14ac:dyDescent="0.15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" customHeight="1" x14ac:dyDescent="0.15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" customHeight="1" x14ac:dyDescent="0.15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" customHeight="1" x14ac:dyDescent="0.15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" customHeight="1" x14ac:dyDescent="0.1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" customHeight="1" x14ac:dyDescent="0.15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" customHeight="1" x14ac:dyDescent="0.15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" customHeight="1" x14ac:dyDescent="0.15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" customHeight="1" x14ac:dyDescent="0.15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" customHeight="1" x14ac:dyDescent="0.15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" customHeight="1" x14ac:dyDescent="0.15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" customHeight="1" x14ac:dyDescent="0.15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" customHeight="1" x14ac:dyDescent="0.15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" customHeight="1" x14ac:dyDescent="0.15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" customHeight="1" x14ac:dyDescent="0.1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" customHeight="1" x14ac:dyDescent="0.15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" customHeight="1" x14ac:dyDescent="0.15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" customHeight="1" x14ac:dyDescent="0.15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" customHeight="1" x14ac:dyDescent="0.15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" customHeight="1" x14ac:dyDescent="0.15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" customHeight="1" x14ac:dyDescent="0.15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" customHeight="1" x14ac:dyDescent="0.15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" customHeight="1" x14ac:dyDescent="0.15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" customHeight="1" x14ac:dyDescent="0.15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" customHeight="1" x14ac:dyDescent="0.1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" customHeight="1" x14ac:dyDescent="0.15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" customHeight="1" x14ac:dyDescent="0.15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" customHeight="1" x14ac:dyDescent="0.15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" customHeight="1" x14ac:dyDescent="0.15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" customHeight="1" x14ac:dyDescent="0.15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" customHeight="1" x14ac:dyDescent="0.15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" customHeight="1" x14ac:dyDescent="0.15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" customHeight="1" x14ac:dyDescent="0.15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" customHeight="1" x14ac:dyDescent="0.15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" customHeight="1" x14ac:dyDescent="0.1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" customHeight="1" x14ac:dyDescent="0.15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" customHeight="1" x14ac:dyDescent="0.15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" customHeight="1" x14ac:dyDescent="0.15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" customHeight="1" x14ac:dyDescent="0.15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" customHeight="1" x14ac:dyDescent="0.15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" customHeight="1" x14ac:dyDescent="0.15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" customHeight="1" x14ac:dyDescent="0.15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" customHeight="1" x14ac:dyDescent="0.15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" customHeight="1" x14ac:dyDescent="0.15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" customHeight="1" x14ac:dyDescent="0.1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" customHeight="1" x14ac:dyDescent="0.15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" customHeight="1" x14ac:dyDescent="0.15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" customHeight="1" x14ac:dyDescent="0.15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" customHeight="1" x14ac:dyDescent="0.15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" customHeight="1" x14ac:dyDescent="0.15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" customHeight="1" x14ac:dyDescent="0.15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" customHeight="1" x14ac:dyDescent="0.15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" customHeight="1" x14ac:dyDescent="0.15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" customHeight="1" x14ac:dyDescent="0.15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" customHeight="1" x14ac:dyDescent="0.1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" customHeight="1" x14ac:dyDescent="0.15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" customHeight="1" x14ac:dyDescent="0.15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" customHeight="1" x14ac:dyDescent="0.15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" customHeight="1" x14ac:dyDescent="0.15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" customHeight="1" x14ac:dyDescent="0.15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" customHeight="1" x14ac:dyDescent="0.15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" customHeight="1" x14ac:dyDescent="0.15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" customHeight="1" x14ac:dyDescent="0.15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" customHeight="1" x14ac:dyDescent="0.15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" customHeight="1" x14ac:dyDescent="0.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" customHeight="1" x14ac:dyDescent="0.15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" customHeight="1" x14ac:dyDescent="0.15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" customHeight="1" x14ac:dyDescent="0.15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" customHeight="1" x14ac:dyDescent="0.15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" customHeight="1" x14ac:dyDescent="0.15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" customHeight="1" x14ac:dyDescent="0.15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" customHeight="1" x14ac:dyDescent="0.15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" customHeight="1" x14ac:dyDescent="0.15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" customHeight="1" x14ac:dyDescent="0.15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" customHeight="1" x14ac:dyDescent="0.1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" customHeight="1" x14ac:dyDescent="0.15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" customHeight="1" x14ac:dyDescent="0.15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" customHeight="1" x14ac:dyDescent="0.15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" customHeight="1" x14ac:dyDescent="0.15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" customHeight="1" x14ac:dyDescent="0.15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" customHeight="1" x14ac:dyDescent="0.15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" customHeight="1" x14ac:dyDescent="0.15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" customHeight="1" x14ac:dyDescent="0.15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" customHeight="1" x14ac:dyDescent="0.15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" customHeight="1" x14ac:dyDescent="0.1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" customHeight="1" x14ac:dyDescent="0.15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" customHeight="1" x14ac:dyDescent="0.15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" customHeight="1" x14ac:dyDescent="0.15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" customHeight="1" x14ac:dyDescent="0.15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" customHeight="1" x14ac:dyDescent="0.15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" customHeight="1" x14ac:dyDescent="0.15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" customHeight="1" x14ac:dyDescent="0.15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" customHeight="1" x14ac:dyDescent="0.15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" customHeight="1" x14ac:dyDescent="0.15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" customHeight="1" x14ac:dyDescent="0.1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" customHeight="1" x14ac:dyDescent="0.15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" customHeight="1" x14ac:dyDescent="0.15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" customHeight="1" x14ac:dyDescent="0.15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" customHeight="1" x14ac:dyDescent="0.15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" customHeight="1" x14ac:dyDescent="0.15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" customHeight="1" x14ac:dyDescent="0.15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" customHeight="1" x14ac:dyDescent="0.15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" customHeight="1" x14ac:dyDescent="0.15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" customHeight="1" x14ac:dyDescent="0.15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" customHeight="1" x14ac:dyDescent="0.1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" customHeight="1" x14ac:dyDescent="0.15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" customHeight="1" x14ac:dyDescent="0.15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" customHeight="1" x14ac:dyDescent="0.15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" customHeight="1" x14ac:dyDescent="0.15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" customHeight="1" x14ac:dyDescent="0.15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" customHeight="1" x14ac:dyDescent="0.15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" customHeight="1" x14ac:dyDescent="0.15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" customHeight="1" x14ac:dyDescent="0.15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" customHeight="1" x14ac:dyDescent="0.15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" customHeight="1" x14ac:dyDescent="0.1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" customHeight="1" x14ac:dyDescent="0.15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" customHeight="1" x14ac:dyDescent="0.15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" customHeight="1" x14ac:dyDescent="0.15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" customHeight="1" x14ac:dyDescent="0.15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" customHeight="1" x14ac:dyDescent="0.15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" customHeight="1" x14ac:dyDescent="0.15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" customHeight="1" x14ac:dyDescent="0.15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" customHeight="1" x14ac:dyDescent="0.15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" customHeight="1" x14ac:dyDescent="0.15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" customHeight="1" x14ac:dyDescent="0.1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" customHeight="1" x14ac:dyDescent="0.15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" customHeight="1" x14ac:dyDescent="0.15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" customHeight="1" x14ac:dyDescent="0.15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" customHeight="1" x14ac:dyDescent="0.15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" customHeight="1" x14ac:dyDescent="0.15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" customHeight="1" x14ac:dyDescent="0.15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" customHeight="1" x14ac:dyDescent="0.15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" customHeight="1" x14ac:dyDescent="0.15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" customHeight="1" x14ac:dyDescent="0.15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" customHeight="1" x14ac:dyDescent="0.1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" customHeight="1" x14ac:dyDescent="0.15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" customHeight="1" x14ac:dyDescent="0.15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" customHeight="1" x14ac:dyDescent="0.15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" customHeight="1" x14ac:dyDescent="0.15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" customHeight="1" x14ac:dyDescent="0.15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" customHeight="1" x14ac:dyDescent="0.15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" customHeight="1" x14ac:dyDescent="0.15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" customHeight="1" x14ac:dyDescent="0.15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" customHeight="1" x14ac:dyDescent="0.15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" customHeight="1" x14ac:dyDescent="0.1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" customHeight="1" x14ac:dyDescent="0.15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" customHeight="1" x14ac:dyDescent="0.15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" customHeight="1" x14ac:dyDescent="0.15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" customHeight="1" x14ac:dyDescent="0.15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" customHeight="1" x14ac:dyDescent="0.15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" customHeight="1" x14ac:dyDescent="0.15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" customHeight="1" x14ac:dyDescent="0.15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" customHeight="1" x14ac:dyDescent="0.15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" customHeight="1" x14ac:dyDescent="0.15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" customHeight="1" x14ac:dyDescent="0.1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" customHeight="1" x14ac:dyDescent="0.15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" customHeight="1" x14ac:dyDescent="0.15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" customHeight="1" x14ac:dyDescent="0.15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" customHeight="1" x14ac:dyDescent="0.15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" customHeight="1" x14ac:dyDescent="0.15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" customHeight="1" x14ac:dyDescent="0.15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" customHeight="1" x14ac:dyDescent="0.15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" customHeight="1" x14ac:dyDescent="0.15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" customHeight="1" x14ac:dyDescent="0.15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" customHeight="1" x14ac:dyDescent="0.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" customHeight="1" x14ac:dyDescent="0.15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" customHeight="1" x14ac:dyDescent="0.15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" customHeight="1" x14ac:dyDescent="0.15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" customHeight="1" x14ac:dyDescent="0.15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" customHeight="1" x14ac:dyDescent="0.15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" customHeight="1" x14ac:dyDescent="0.15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" customHeight="1" x14ac:dyDescent="0.15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" customHeight="1" x14ac:dyDescent="0.15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" customHeight="1" x14ac:dyDescent="0.15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" customHeight="1" x14ac:dyDescent="0.1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" customHeight="1" x14ac:dyDescent="0.15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" customHeight="1" x14ac:dyDescent="0.15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" customHeight="1" x14ac:dyDescent="0.15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" customHeight="1" x14ac:dyDescent="0.15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" customHeight="1" x14ac:dyDescent="0.15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" customHeight="1" x14ac:dyDescent="0.15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" customHeight="1" x14ac:dyDescent="0.15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" customHeight="1" x14ac:dyDescent="0.15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" customHeight="1" x14ac:dyDescent="0.15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" customHeight="1" x14ac:dyDescent="0.1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" customHeight="1" x14ac:dyDescent="0.15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" customHeight="1" x14ac:dyDescent="0.15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" customHeight="1" x14ac:dyDescent="0.15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" customHeight="1" x14ac:dyDescent="0.15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" customHeight="1" x14ac:dyDescent="0.15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" customHeight="1" x14ac:dyDescent="0.15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" customHeight="1" x14ac:dyDescent="0.15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" customHeight="1" x14ac:dyDescent="0.15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" customHeight="1" x14ac:dyDescent="0.15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" customHeight="1" x14ac:dyDescent="0.1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" customHeight="1" x14ac:dyDescent="0.15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" customHeight="1" x14ac:dyDescent="0.15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" customHeight="1" x14ac:dyDescent="0.15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" customHeight="1" x14ac:dyDescent="0.15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" customHeight="1" x14ac:dyDescent="0.15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" customHeight="1" x14ac:dyDescent="0.15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" customHeight="1" x14ac:dyDescent="0.15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" customHeight="1" x14ac:dyDescent="0.15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" customHeight="1" x14ac:dyDescent="0.15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" customHeight="1" x14ac:dyDescent="0.1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" customHeight="1" x14ac:dyDescent="0.15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" customHeight="1" x14ac:dyDescent="0.15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" customHeight="1" x14ac:dyDescent="0.15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" customHeight="1" x14ac:dyDescent="0.15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" customHeight="1" x14ac:dyDescent="0.15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" customHeight="1" x14ac:dyDescent="0.15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" customHeight="1" x14ac:dyDescent="0.15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" customHeight="1" x14ac:dyDescent="0.15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" customHeight="1" x14ac:dyDescent="0.15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" customHeight="1" x14ac:dyDescent="0.1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" customHeight="1" x14ac:dyDescent="0.15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" customHeight="1" x14ac:dyDescent="0.15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" customHeight="1" x14ac:dyDescent="0.15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" customHeight="1" x14ac:dyDescent="0.15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" customHeight="1" x14ac:dyDescent="0.15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" customHeight="1" x14ac:dyDescent="0.15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" customHeight="1" x14ac:dyDescent="0.15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" customHeight="1" x14ac:dyDescent="0.15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" customHeight="1" x14ac:dyDescent="0.15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" customHeight="1" x14ac:dyDescent="0.1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" customHeight="1" x14ac:dyDescent="0.15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" customHeight="1" x14ac:dyDescent="0.15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" customHeight="1" x14ac:dyDescent="0.15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" customHeight="1" x14ac:dyDescent="0.15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" customHeight="1" x14ac:dyDescent="0.15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" customHeight="1" x14ac:dyDescent="0.15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" customHeight="1" x14ac:dyDescent="0.15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" customHeight="1" x14ac:dyDescent="0.15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" customHeight="1" x14ac:dyDescent="0.15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" customHeight="1" x14ac:dyDescent="0.1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" customHeight="1" x14ac:dyDescent="0.15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" customHeight="1" x14ac:dyDescent="0.15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" customHeight="1" x14ac:dyDescent="0.15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" customHeight="1" x14ac:dyDescent="0.15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" customHeight="1" x14ac:dyDescent="0.15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" customHeight="1" x14ac:dyDescent="0.15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" customHeight="1" x14ac:dyDescent="0.15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" customHeight="1" x14ac:dyDescent="0.15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" customHeight="1" x14ac:dyDescent="0.15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" customHeight="1" x14ac:dyDescent="0.1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" customHeight="1" x14ac:dyDescent="0.15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" customHeight="1" x14ac:dyDescent="0.15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" customHeight="1" x14ac:dyDescent="0.15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" customHeight="1" x14ac:dyDescent="0.15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" customHeight="1" x14ac:dyDescent="0.15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" customHeight="1" x14ac:dyDescent="0.15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" customHeight="1" x14ac:dyDescent="0.15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" customHeight="1" x14ac:dyDescent="0.15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" customHeight="1" x14ac:dyDescent="0.15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" customHeight="1" x14ac:dyDescent="0.1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" customHeight="1" x14ac:dyDescent="0.15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" customHeight="1" x14ac:dyDescent="0.15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" customHeight="1" x14ac:dyDescent="0.15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" customHeight="1" x14ac:dyDescent="0.15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" customHeight="1" x14ac:dyDescent="0.15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" customHeight="1" x14ac:dyDescent="0.15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" customHeight="1" x14ac:dyDescent="0.15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" customHeight="1" x14ac:dyDescent="0.15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" customHeight="1" x14ac:dyDescent="0.15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" customHeight="1" x14ac:dyDescent="0.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" customHeight="1" x14ac:dyDescent="0.15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" customHeight="1" x14ac:dyDescent="0.15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" customHeight="1" x14ac:dyDescent="0.15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" customHeight="1" x14ac:dyDescent="0.15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" customHeight="1" x14ac:dyDescent="0.15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" customHeight="1" x14ac:dyDescent="0.15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" customHeight="1" x14ac:dyDescent="0.15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" customHeight="1" x14ac:dyDescent="0.15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" customHeight="1" x14ac:dyDescent="0.15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" customHeight="1" x14ac:dyDescent="0.1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" customHeight="1" x14ac:dyDescent="0.15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" customHeight="1" x14ac:dyDescent="0.15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" customHeight="1" x14ac:dyDescent="0.15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" customHeight="1" x14ac:dyDescent="0.15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" customHeight="1" x14ac:dyDescent="0.15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" customHeight="1" x14ac:dyDescent="0.15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" customHeight="1" x14ac:dyDescent="0.15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" customHeight="1" x14ac:dyDescent="0.15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" customHeight="1" x14ac:dyDescent="0.15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" customHeight="1" x14ac:dyDescent="0.1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" customHeight="1" x14ac:dyDescent="0.15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" customHeight="1" x14ac:dyDescent="0.15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" customHeight="1" x14ac:dyDescent="0.15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" customHeight="1" x14ac:dyDescent="0.15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" customHeight="1" x14ac:dyDescent="0.15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" customHeight="1" x14ac:dyDescent="0.15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" customHeight="1" x14ac:dyDescent="0.15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" customHeight="1" x14ac:dyDescent="0.15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" customHeight="1" x14ac:dyDescent="0.15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" customHeight="1" x14ac:dyDescent="0.1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" customHeight="1" x14ac:dyDescent="0.15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" customHeight="1" x14ac:dyDescent="0.15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" customHeight="1" x14ac:dyDescent="0.15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" customHeight="1" x14ac:dyDescent="0.15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" customHeight="1" x14ac:dyDescent="0.15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" customHeight="1" x14ac:dyDescent="0.15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" customHeight="1" x14ac:dyDescent="0.15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" customHeight="1" x14ac:dyDescent="0.15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" customHeight="1" x14ac:dyDescent="0.15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" customHeight="1" x14ac:dyDescent="0.1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" customHeight="1" x14ac:dyDescent="0.15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" customHeight="1" x14ac:dyDescent="0.15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" customHeight="1" x14ac:dyDescent="0.15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" customHeight="1" x14ac:dyDescent="0.15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" customHeight="1" x14ac:dyDescent="0.15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" customHeight="1" x14ac:dyDescent="0.15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" customHeight="1" x14ac:dyDescent="0.15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" customHeight="1" x14ac:dyDescent="0.15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" customHeight="1" x14ac:dyDescent="0.15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" customHeight="1" x14ac:dyDescent="0.1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" customHeight="1" x14ac:dyDescent="0.15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" customHeight="1" x14ac:dyDescent="0.15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" customHeight="1" x14ac:dyDescent="0.15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" customHeight="1" x14ac:dyDescent="0.15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" customHeight="1" x14ac:dyDescent="0.15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" customHeight="1" x14ac:dyDescent="0.15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" customHeight="1" x14ac:dyDescent="0.15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" customHeight="1" x14ac:dyDescent="0.15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" customHeight="1" x14ac:dyDescent="0.15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" customHeight="1" x14ac:dyDescent="0.1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" customHeight="1" x14ac:dyDescent="0.15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" customHeight="1" x14ac:dyDescent="0.15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" customHeight="1" x14ac:dyDescent="0.15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" customHeight="1" x14ac:dyDescent="0.15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" customHeight="1" x14ac:dyDescent="0.15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" customHeight="1" x14ac:dyDescent="0.15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" customHeight="1" x14ac:dyDescent="0.15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" customHeight="1" x14ac:dyDescent="0.15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" customHeight="1" x14ac:dyDescent="0.15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" customHeight="1" x14ac:dyDescent="0.1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" customHeight="1" x14ac:dyDescent="0.15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" customHeight="1" x14ac:dyDescent="0.15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" customHeight="1" x14ac:dyDescent="0.15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" customHeight="1" x14ac:dyDescent="0.15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" customHeight="1" x14ac:dyDescent="0.15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" customHeight="1" x14ac:dyDescent="0.15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" customHeight="1" x14ac:dyDescent="0.15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" customHeight="1" x14ac:dyDescent="0.15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" customHeight="1" x14ac:dyDescent="0.15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" customHeight="1" x14ac:dyDescent="0.1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" customHeight="1" x14ac:dyDescent="0.15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" customHeight="1" x14ac:dyDescent="0.15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" customHeight="1" x14ac:dyDescent="0.15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" customHeight="1" x14ac:dyDescent="0.15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" customHeight="1" x14ac:dyDescent="0.15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" customHeight="1" x14ac:dyDescent="0.15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" customHeight="1" x14ac:dyDescent="0.15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" customHeight="1" x14ac:dyDescent="0.15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" customHeight="1" x14ac:dyDescent="0.15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" customHeight="1" x14ac:dyDescent="0.1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" customHeight="1" x14ac:dyDescent="0.15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" customHeight="1" x14ac:dyDescent="0.15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" customHeight="1" x14ac:dyDescent="0.15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" customHeight="1" x14ac:dyDescent="0.15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" customHeight="1" x14ac:dyDescent="0.15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" customHeight="1" x14ac:dyDescent="0.15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" customHeight="1" x14ac:dyDescent="0.15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" customHeight="1" x14ac:dyDescent="0.15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" customHeight="1" x14ac:dyDescent="0.15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" customHeight="1" x14ac:dyDescent="0.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" customHeight="1" x14ac:dyDescent="0.15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" customHeight="1" x14ac:dyDescent="0.15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" customHeight="1" x14ac:dyDescent="0.15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" customHeight="1" x14ac:dyDescent="0.15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" customHeight="1" x14ac:dyDescent="0.15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" customHeight="1" x14ac:dyDescent="0.15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" customHeight="1" x14ac:dyDescent="0.15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" customHeight="1" x14ac:dyDescent="0.15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" customHeight="1" x14ac:dyDescent="0.15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" customHeight="1" x14ac:dyDescent="0.1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" customHeight="1" x14ac:dyDescent="0.15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" customHeight="1" x14ac:dyDescent="0.15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" customHeight="1" x14ac:dyDescent="0.15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" customHeight="1" x14ac:dyDescent="0.15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" customHeight="1" x14ac:dyDescent="0.15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" customHeight="1" x14ac:dyDescent="0.15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" customHeight="1" x14ac:dyDescent="0.15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" customHeight="1" x14ac:dyDescent="0.15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" customHeight="1" x14ac:dyDescent="0.15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" customHeight="1" x14ac:dyDescent="0.1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" customHeight="1" x14ac:dyDescent="0.15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" customHeight="1" x14ac:dyDescent="0.15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" customHeight="1" x14ac:dyDescent="0.15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" customHeight="1" x14ac:dyDescent="0.15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" customHeight="1" x14ac:dyDescent="0.15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" customHeight="1" x14ac:dyDescent="0.15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" customHeight="1" x14ac:dyDescent="0.15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" customHeight="1" x14ac:dyDescent="0.15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" customHeight="1" x14ac:dyDescent="0.15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" customHeight="1" x14ac:dyDescent="0.1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" customHeight="1" x14ac:dyDescent="0.15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" customHeight="1" x14ac:dyDescent="0.15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" customHeight="1" x14ac:dyDescent="0.15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" customHeight="1" x14ac:dyDescent="0.15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" customHeight="1" x14ac:dyDescent="0.15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" customHeight="1" x14ac:dyDescent="0.15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" customHeight="1" x14ac:dyDescent="0.15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" customHeight="1" x14ac:dyDescent="0.15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" customHeight="1" x14ac:dyDescent="0.15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" customHeight="1" x14ac:dyDescent="0.1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" customHeight="1" x14ac:dyDescent="0.15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" customHeight="1" x14ac:dyDescent="0.15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" customHeight="1" x14ac:dyDescent="0.15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" customHeight="1" x14ac:dyDescent="0.15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" customHeight="1" x14ac:dyDescent="0.15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" customHeight="1" x14ac:dyDescent="0.15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" customHeight="1" x14ac:dyDescent="0.15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" customHeight="1" x14ac:dyDescent="0.15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" customHeight="1" x14ac:dyDescent="0.15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" customHeight="1" x14ac:dyDescent="0.1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" customHeight="1" x14ac:dyDescent="0.15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" customHeight="1" x14ac:dyDescent="0.15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" customHeight="1" x14ac:dyDescent="0.15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" customHeight="1" x14ac:dyDescent="0.15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" customHeight="1" x14ac:dyDescent="0.15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" customHeight="1" x14ac:dyDescent="0.15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" customHeight="1" x14ac:dyDescent="0.15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" customHeight="1" x14ac:dyDescent="0.15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" customHeight="1" x14ac:dyDescent="0.15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" customHeight="1" x14ac:dyDescent="0.1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" customHeight="1" x14ac:dyDescent="0.15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" customHeight="1" x14ac:dyDescent="0.15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" customHeight="1" x14ac:dyDescent="0.15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" customHeight="1" x14ac:dyDescent="0.15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" customHeight="1" x14ac:dyDescent="0.15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" customHeight="1" x14ac:dyDescent="0.15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" customHeight="1" x14ac:dyDescent="0.15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" customHeight="1" x14ac:dyDescent="0.15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" customHeight="1" x14ac:dyDescent="0.15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" customHeight="1" x14ac:dyDescent="0.1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" customHeight="1" x14ac:dyDescent="0.15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" customHeight="1" x14ac:dyDescent="0.15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" customHeight="1" x14ac:dyDescent="0.15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" customHeight="1" x14ac:dyDescent="0.15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" customHeight="1" x14ac:dyDescent="0.15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" customHeight="1" x14ac:dyDescent="0.15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" customHeight="1" x14ac:dyDescent="0.15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" customHeight="1" x14ac:dyDescent="0.15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" customHeight="1" x14ac:dyDescent="0.15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" customHeight="1" x14ac:dyDescent="0.1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" customHeight="1" x14ac:dyDescent="0.15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" customHeight="1" x14ac:dyDescent="0.15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" customHeight="1" x14ac:dyDescent="0.15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" customHeight="1" x14ac:dyDescent="0.15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" customHeight="1" x14ac:dyDescent="0.15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" customHeight="1" x14ac:dyDescent="0.15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" customHeight="1" x14ac:dyDescent="0.15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" customHeight="1" x14ac:dyDescent="0.15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" customHeight="1" x14ac:dyDescent="0.15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" customHeight="1" x14ac:dyDescent="0.1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" customHeight="1" x14ac:dyDescent="0.15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" customHeight="1" x14ac:dyDescent="0.15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" customHeight="1" x14ac:dyDescent="0.15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" customHeight="1" x14ac:dyDescent="0.15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" customHeight="1" x14ac:dyDescent="0.15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" customHeight="1" x14ac:dyDescent="0.15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" customHeight="1" x14ac:dyDescent="0.15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" customHeight="1" x14ac:dyDescent="0.15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" customHeight="1" x14ac:dyDescent="0.15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" customHeight="1" x14ac:dyDescent="0.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" customHeight="1" x14ac:dyDescent="0.15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" customHeight="1" x14ac:dyDescent="0.15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" customHeight="1" x14ac:dyDescent="0.15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" customHeight="1" x14ac:dyDescent="0.15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" customHeight="1" x14ac:dyDescent="0.15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" customHeight="1" x14ac:dyDescent="0.15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" customHeight="1" x14ac:dyDescent="0.15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" customHeight="1" x14ac:dyDescent="0.15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" customHeight="1" x14ac:dyDescent="0.15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" customHeight="1" x14ac:dyDescent="0.1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" customHeight="1" x14ac:dyDescent="0.15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" customHeight="1" x14ac:dyDescent="0.15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" customHeight="1" x14ac:dyDescent="0.15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" customHeight="1" x14ac:dyDescent="0.15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" customHeight="1" x14ac:dyDescent="0.15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" customHeight="1" x14ac:dyDescent="0.15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" customHeight="1" x14ac:dyDescent="0.15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" customHeight="1" x14ac:dyDescent="0.15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" customHeight="1" x14ac:dyDescent="0.15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" customHeight="1" x14ac:dyDescent="0.1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" customHeight="1" x14ac:dyDescent="0.15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" customHeight="1" x14ac:dyDescent="0.15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" customHeight="1" x14ac:dyDescent="0.15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" customHeight="1" x14ac:dyDescent="0.15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" customHeight="1" x14ac:dyDescent="0.15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" customHeight="1" x14ac:dyDescent="0.15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" customHeight="1" x14ac:dyDescent="0.15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" customHeight="1" x14ac:dyDescent="0.15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" customHeight="1" x14ac:dyDescent="0.15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" customHeight="1" x14ac:dyDescent="0.1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" customHeight="1" x14ac:dyDescent="0.15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" customHeight="1" x14ac:dyDescent="0.15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" customHeight="1" x14ac:dyDescent="0.15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" customHeight="1" x14ac:dyDescent="0.15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" customHeight="1" x14ac:dyDescent="0.15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" customHeight="1" x14ac:dyDescent="0.15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" customHeight="1" x14ac:dyDescent="0.15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" customHeight="1" x14ac:dyDescent="0.15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" customHeight="1" x14ac:dyDescent="0.15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" customHeight="1" x14ac:dyDescent="0.1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" customHeight="1" x14ac:dyDescent="0.15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" customHeight="1" x14ac:dyDescent="0.15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" customHeight="1" x14ac:dyDescent="0.15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" customHeight="1" x14ac:dyDescent="0.15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" customHeight="1" x14ac:dyDescent="0.15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" customHeight="1" x14ac:dyDescent="0.15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" customHeight="1" x14ac:dyDescent="0.15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" customHeight="1" x14ac:dyDescent="0.15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" customHeight="1" x14ac:dyDescent="0.15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" customHeight="1" x14ac:dyDescent="0.1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" customHeight="1" x14ac:dyDescent="0.15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" customHeight="1" x14ac:dyDescent="0.15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" customHeight="1" x14ac:dyDescent="0.15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" customHeight="1" x14ac:dyDescent="0.15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" customHeight="1" x14ac:dyDescent="0.15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" customHeight="1" x14ac:dyDescent="0.15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" customHeight="1" x14ac:dyDescent="0.15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" customHeight="1" x14ac:dyDescent="0.15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" customHeight="1" x14ac:dyDescent="0.15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" customHeight="1" x14ac:dyDescent="0.1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" customHeight="1" x14ac:dyDescent="0.15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" customHeight="1" x14ac:dyDescent="0.15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" customHeight="1" x14ac:dyDescent="0.15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" customHeight="1" x14ac:dyDescent="0.15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" customHeight="1" x14ac:dyDescent="0.15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" customHeight="1" x14ac:dyDescent="0.15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" customHeight="1" x14ac:dyDescent="0.15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" customHeight="1" x14ac:dyDescent="0.15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" customHeight="1" x14ac:dyDescent="0.15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" customHeight="1" x14ac:dyDescent="0.1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" customHeight="1" x14ac:dyDescent="0.15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" customHeight="1" x14ac:dyDescent="0.15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" customHeight="1" x14ac:dyDescent="0.15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" customHeight="1" x14ac:dyDescent="0.15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" customHeight="1" x14ac:dyDescent="0.15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" customHeight="1" x14ac:dyDescent="0.15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" customHeight="1" x14ac:dyDescent="0.15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" customHeight="1" x14ac:dyDescent="0.15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" customHeight="1" x14ac:dyDescent="0.15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" customHeight="1" x14ac:dyDescent="0.1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" customHeight="1" x14ac:dyDescent="0.15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" customHeight="1" x14ac:dyDescent="0.15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" customHeight="1" x14ac:dyDescent="0.15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" customHeight="1" x14ac:dyDescent="0.15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" customHeight="1" x14ac:dyDescent="0.15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" customHeight="1" x14ac:dyDescent="0.15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" customHeight="1" x14ac:dyDescent="0.15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" customHeight="1" x14ac:dyDescent="0.15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" customHeight="1" x14ac:dyDescent="0.15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" customHeight="1" x14ac:dyDescent="0.1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" customHeight="1" x14ac:dyDescent="0.15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" customHeight="1" x14ac:dyDescent="0.15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" customHeight="1" x14ac:dyDescent="0.15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" customHeight="1" x14ac:dyDescent="0.15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" customHeight="1" x14ac:dyDescent="0.15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" customHeight="1" x14ac:dyDescent="0.15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" customHeight="1" x14ac:dyDescent="0.15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" customHeight="1" x14ac:dyDescent="0.15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" customHeight="1" x14ac:dyDescent="0.15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" customHeight="1" x14ac:dyDescent="0.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" customHeight="1" x14ac:dyDescent="0.15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" customHeight="1" x14ac:dyDescent="0.15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" customHeight="1" x14ac:dyDescent="0.15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" customHeight="1" x14ac:dyDescent="0.15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" customHeight="1" x14ac:dyDescent="0.15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" customHeight="1" x14ac:dyDescent="0.15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" customHeight="1" x14ac:dyDescent="0.15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" customHeight="1" x14ac:dyDescent="0.15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" customHeight="1" x14ac:dyDescent="0.15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" customHeight="1" x14ac:dyDescent="0.1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" customHeight="1" x14ac:dyDescent="0.15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" customHeight="1" x14ac:dyDescent="0.15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" customHeight="1" x14ac:dyDescent="0.15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" customHeight="1" x14ac:dyDescent="0.15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" customHeight="1" x14ac:dyDescent="0.15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" customHeight="1" x14ac:dyDescent="0.15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" customHeight="1" x14ac:dyDescent="0.15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" customHeight="1" x14ac:dyDescent="0.15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" customHeight="1" x14ac:dyDescent="0.15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" customHeight="1" x14ac:dyDescent="0.1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" customHeight="1" x14ac:dyDescent="0.15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" customHeight="1" x14ac:dyDescent="0.15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" customHeight="1" x14ac:dyDescent="0.15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" customHeight="1" x14ac:dyDescent="0.15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" customHeight="1" x14ac:dyDescent="0.15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" customHeight="1" x14ac:dyDescent="0.15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" customHeight="1" x14ac:dyDescent="0.15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" customHeight="1" x14ac:dyDescent="0.15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" customHeight="1" x14ac:dyDescent="0.15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" customHeight="1" x14ac:dyDescent="0.1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" customHeight="1" x14ac:dyDescent="0.15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" customHeight="1" x14ac:dyDescent="0.15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" customHeight="1" x14ac:dyDescent="0.15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" customHeight="1" x14ac:dyDescent="0.15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" customHeight="1" x14ac:dyDescent="0.15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" customHeight="1" x14ac:dyDescent="0.15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" customHeight="1" x14ac:dyDescent="0.15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" customHeight="1" x14ac:dyDescent="0.15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" customHeight="1" x14ac:dyDescent="0.15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" customHeight="1" x14ac:dyDescent="0.1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" customHeight="1" x14ac:dyDescent="0.15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" customHeight="1" x14ac:dyDescent="0.15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" customHeight="1" x14ac:dyDescent="0.15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" customHeight="1" x14ac:dyDescent="0.15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" customHeight="1" x14ac:dyDescent="0.15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" customHeight="1" x14ac:dyDescent="0.15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" customHeight="1" x14ac:dyDescent="0.15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" customHeight="1" x14ac:dyDescent="0.15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" customHeight="1" x14ac:dyDescent="0.15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" customHeight="1" x14ac:dyDescent="0.1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" customHeight="1" x14ac:dyDescent="0.15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" customHeight="1" x14ac:dyDescent="0.15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" customHeight="1" x14ac:dyDescent="0.15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" customHeight="1" x14ac:dyDescent="0.15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" customHeight="1" x14ac:dyDescent="0.15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" customHeight="1" x14ac:dyDescent="0.15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" customHeight="1" x14ac:dyDescent="0.15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" customHeight="1" x14ac:dyDescent="0.15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" customHeight="1" x14ac:dyDescent="0.15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" customHeight="1" x14ac:dyDescent="0.1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" customHeight="1" x14ac:dyDescent="0.15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" customHeight="1" x14ac:dyDescent="0.15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" customHeight="1" x14ac:dyDescent="0.15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" customHeight="1" x14ac:dyDescent="0.15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" customHeight="1" x14ac:dyDescent="0.15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" customHeight="1" x14ac:dyDescent="0.15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" customHeight="1" x14ac:dyDescent="0.15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" customHeight="1" x14ac:dyDescent="0.15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" customHeight="1" x14ac:dyDescent="0.15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" customHeight="1" x14ac:dyDescent="0.1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" customHeight="1" x14ac:dyDescent="0.15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" customHeight="1" x14ac:dyDescent="0.15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" customHeight="1" x14ac:dyDescent="0.15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" customHeight="1" x14ac:dyDescent="0.15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" customHeight="1" x14ac:dyDescent="0.15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" customHeight="1" x14ac:dyDescent="0.15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" customHeight="1" x14ac:dyDescent="0.15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" customHeight="1" x14ac:dyDescent="0.15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" customHeight="1" x14ac:dyDescent="0.15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" customHeight="1" x14ac:dyDescent="0.1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" customHeight="1" x14ac:dyDescent="0.15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" customHeight="1" x14ac:dyDescent="0.15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" customHeight="1" x14ac:dyDescent="0.15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" customHeight="1" x14ac:dyDescent="0.15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autoFilter ref="B4:J72" xr:uid="{00000000-0009-0000-0000-000000000000}"/>
  <mergeCells count="12">
    <mergeCell ref="F46:G46"/>
    <mergeCell ref="F54:G54"/>
    <mergeCell ref="F58:G58"/>
    <mergeCell ref="F69:G69"/>
    <mergeCell ref="I2:J2"/>
    <mergeCell ref="C2:F2"/>
    <mergeCell ref="I36:J36"/>
    <mergeCell ref="C36:F36"/>
    <mergeCell ref="F6:G6"/>
    <mergeCell ref="F9:G9"/>
    <mergeCell ref="F18:G18"/>
    <mergeCell ref="F20:G2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7" fitToWidth="2" fitToHeight="0" orientation="landscape" r:id="rId1"/>
  <headerFooter>
    <oddFooter>&amp;L&amp;D&amp;C&amp;F&amp;R&amp;P / &amp;N</oddFooter>
  </headerFooter>
  <rowBreaks count="3" manualBreakCount="3">
    <brk id="20" min="1" max="13" man="1"/>
    <brk id="34" max="16383" man="1"/>
    <brk id="53" min="1" max="13" man="1"/>
  </rowBreaks>
  <colBreaks count="1" manualBreakCount="1">
    <brk id="10" max="7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113"/>
  <sheetViews>
    <sheetView view="pageBreakPreview" zoomScaleNormal="90" zoomScaleSheetLayoutView="100" workbookViewId="0">
      <selection activeCell="H32" sqref="H32"/>
    </sheetView>
  </sheetViews>
  <sheetFormatPr baseColWidth="10" defaultColWidth="12.5" defaultRowHeight="15" customHeight="1" x14ac:dyDescent="0.15"/>
  <cols>
    <col min="1" max="1" width="5" style="132" bestFit="1" customWidth="1"/>
    <col min="2" max="2" width="6.5" style="149" bestFit="1" customWidth="1"/>
    <col min="3" max="4" width="45" style="132" customWidth="1"/>
    <col min="5" max="5" width="9" style="132" bestFit="1" customWidth="1"/>
    <col min="6" max="7" width="7.1640625" style="149" customWidth="1"/>
    <col min="8" max="16384" width="12.5" style="132"/>
  </cols>
  <sheetData>
    <row r="1" spans="1:9" ht="16" x14ac:dyDescent="0.15">
      <c r="B1" s="131"/>
      <c r="C1" s="356" t="s">
        <v>348</v>
      </c>
      <c r="D1" s="357"/>
      <c r="E1" s="131"/>
      <c r="F1" s="131"/>
      <c r="G1" s="131"/>
      <c r="H1" s="130"/>
      <c r="I1" s="130"/>
    </row>
    <row r="2" spans="1:9" ht="16" x14ac:dyDescent="0.15">
      <c r="B2" s="131"/>
      <c r="C2" s="356" t="s">
        <v>481</v>
      </c>
      <c r="D2" s="358"/>
      <c r="E2" s="133" t="s">
        <v>315</v>
      </c>
      <c r="F2" s="359" t="s">
        <v>316</v>
      </c>
      <c r="G2" s="361" t="s">
        <v>317</v>
      </c>
      <c r="I2" s="130"/>
    </row>
    <row r="3" spans="1:9" ht="16" x14ac:dyDescent="0.15">
      <c r="B3" s="131"/>
      <c r="C3" s="134"/>
      <c r="D3" s="134"/>
      <c r="E3" s="135" t="s">
        <v>318</v>
      </c>
      <c r="F3" s="360"/>
      <c r="G3" s="362"/>
      <c r="I3" s="130"/>
    </row>
    <row r="4" spans="1:9" ht="13" x14ac:dyDescent="0.15">
      <c r="B4" s="329" t="s">
        <v>618</v>
      </c>
      <c r="C4" s="136" t="s">
        <v>320</v>
      </c>
      <c r="D4" s="137"/>
      <c r="E4" s="138">
        <v>1.3888888888888889E-3</v>
      </c>
      <c r="F4" s="139"/>
      <c r="G4" s="139"/>
      <c r="H4" s="130"/>
      <c r="I4" s="130"/>
    </row>
    <row r="5" spans="1:9" ht="13" x14ac:dyDescent="0.15">
      <c r="A5" s="355" t="s">
        <v>615</v>
      </c>
      <c r="B5" s="332" t="s">
        <v>617</v>
      </c>
      <c r="C5" s="272" t="s">
        <v>435</v>
      </c>
      <c r="D5" s="150" t="s">
        <v>53</v>
      </c>
      <c r="E5" s="142">
        <v>1.9444444444444444E-3</v>
      </c>
      <c r="F5" s="143"/>
      <c r="G5" s="143"/>
      <c r="H5" s="130"/>
      <c r="I5" s="130"/>
    </row>
    <row r="6" spans="1:9" ht="14" x14ac:dyDescent="0.15">
      <c r="A6" s="355"/>
      <c r="B6" s="333" t="s">
        <v>619</v>
      </c>
      <c r="C6" s="272" t="s">
        <v>444</v>
      </c>
      <c r="D6" s="44" t="s">
        <v>55</v>
      </c>
      <c r="E6" s="142">
        <v>2.685185185185185E-3</v>
      </c>
      <c r="F6" s="144"/>
      <c r="G6" s="144"/>
      <c r="H6" s="130"/>
      <c r="I6" s="130"/>
    </row>
    <row r="7" spans="1:9" ht="14" x14ac:dyDescent="0.15">
      <c r="A7" s="355"/>
      <c r="B7" s="340" t="s">
        <v>620</v>
      </c>
      <c r="C7" s="148" t="s">
        <v>445</v>
      </c>
      <c r="D7" s="151" t="s">
        <v>59</v>
      </c>
      <c r="E7" s="142">
        <v>1.8865740740740742E-3</v>
      </c>
      <c r="F7" s="144"/>
      <c r="G7" s="144"/>
      <c r="H7" s="130"/>
      <c r="I7" s="130"/>
    </row>
    <row r="8" spans="1:9" ht="14" x14ac:dyDescent="0.15">
      <c r="A8" s="355"/>
      <c r="B8" s="340" t="s">
        <v>621</v>
      </c>
      <c r="C8" s="148" t="s">
        <v>446</v>
      </c>
      <c r="D8" s="151" t="s">
        <v>461</v>
      </c>
      <c r="E8" s="142">
        <v>2.5694444444444445E-3</v>
      </c>
      <c r="F8" s="143"/>
      <c r="G8" s="143"/>
      <c r="H8" s="130"/>
      <c r="I8" s="130"/>
    </row>
    <row r="9" spans="1:9" ht="14" x14ac:dyDescent="0.15">
      <c r="A9" s="355"/>
      <c r="B9" s="337" t="s">
        <v>622</v>
      </c>
      <c r="C9" s="148" t="s">
        <v>89</v>
      </c>
      <c r="D9" s="152" t="s">
        <v>465</v>
      </c>
      <c r="E9" s="219">
        <v>2.0833333333333333E-3</v>
      </c>
      <c r="F9" s="144"/>
      <c r="G9" s="144">
        <v>3</v>
      </c>
      <c r="H9" s="130"/>
      <c r="I9" s="130"/>
    </row>
    <row r="10" spans="1:9" ht="14" x14ac:dyDescent="0.15">
      <c r="A10" s="355"/>
      <c r="B10" s="340" t="s">
        <v>623</v>
      </c>
      <c r="C10" s="148" t="s">
        <v>447</v>
      </c>
      <c r="D10" s="153" t="s">
        <v>466</v>
      </c>
      <c r="E10" s="142">
        <v>2.7893518518518519E-3</v>
      </c>
      <c r="F10" s="143"/>
      <c r="G10" s="144"/>
      <c r="H10" s="130"/>
      <c r="I10" s="130"/>
    </row>
    <row r="11" spans="1:9" ht="14" x14ac:dyDescent="0.15">
      <c r="A11" s="355"/>
      <c r="B11" s="340" t="s">
        <v>624</v>
      </c>
      <c r="C11" s="272" t="s">
        <v>448</v>
      </c>
      <c r="D11" s="153" t="s">
        <v>350</v>
      </c>
      <c r="E11" s="142">
        <v>2.6041666666666665E-3</v>
      </c>
      <c r="F11" s="143"/>
      <c r="G11" s="144">
        <v>2</v>
      </c>
      <c r="H11" s="130"/>
      <c r="I11" s="130"/>
    </row>
    <row r="12" spans="1:9" ht="14" x14ac:dyDescent="0.15">
      <c r="A12" s="355"/>
      <c r="B12" s="338" t="s">
        <v>625</v>
      </c>
      <c r="C12" s="148" t="s">
        <v>84</v>
      </c>
      <c r="D12" s="154" t="s">
        <v>467</v>
      </c>
      <c r="E12" s="219">
        <v>2.0833333333333333E-3</v>
      </c>
      <c r="F12" s="143"/>
      <c r="G12" s="144"/>
      <c r="H12" s="130"/>
      <c r="I12" s="130"/>
    </row>
    <row r="13" spans="1:9" ht="13" x14ac:dyDescent="0.15">
      <c r="A13" s="355"/>
      <c r="B13" s="330" t="s">
        <v>627</v>
      </c>
      <c r="C13" s="145" t="s">
        <v>450</v>
      </c>
      <c r="D13" s="96" t="s">
        <v>464</v>
      </c>
      <c r="E13" s="142">
        <v>1.3888888888888889E-3</v>
      </c>
      <c r="F13" s="143"/>
      <c r="G13" s="144">
        <v>1</v>
      </c>
      <c r="H13" s="130"/>
      <c r="I13" s="130"/>
    </row>
    <row r="14" spans="1:9" ht="14" x14ac:dyDescent="0.15">
      <c r="A14" s="355"/>
      <c r="B14" s="337" t="s">
        <v>626</v>
      </c>
      <c r="C14" s="148" t="s">
        <v>90</v>
      </c>
      <c r="D14" s="152" t="s">
        <v>469</v>
      </c>
      <c r="E14" s="219">
        <v>2.0833333333333333E-3</v>
      </c>
      <c r="F14" s="143"/>
      <c r="G14" s="144"/>
      <c r="H14" s="130"/>
      <c r="I14" s="130"/>
    </row>
    <row r="15" spans="1:9" ht="14" x14ac:dyDescent="0.15">
      <c r="A15" s="355"/>
      <c r="B15" s="341" t="s">
        <v>638</v>
      </c>
      <c r="C15" s="272" t="s">
        <v>449</v>
      </c>
      <c r="D15" s="153" t="s">
        <v>351</v>
      </c>
      <c r="E15" s="142">
        <v>1.736111111111111E-3</v>
      </c>
      <c r="F15" s="143"/>
      <c r="G15" s="144">
        <v>3</v>
      </c>
      <c r="I15" s="130"/>
    </row>
    <row r="16" spans="1:9" ht="14" x14ac:dyDescent="0.15">
      <c r="A16" s="355"/>
      <c r="B16" s="339" t="s">
        <v>637</v>
      </c>
      <c r="C16" s="148" t="s">
        <v>85</v>
      </c>
      <c r="D16" s="155" t="s">
        <v>352</v>
      </c>
      <c r="E16" s="219">
        <v>2.0833333333333333E-3</v>
      </c>
      <c r="F16" s="143"/>
      <c r="G16" s="144"/>
      <c r="I16" s="130"/>
    </row>
    <row r="17" spans="1:9" ht="25.5" customHeight="1" x14ac:dyDescent="0.15">
      <c r="B17" s="329" t="s">
        <v>618</v>
      </c>
      <c r="C17" s="136" t="s">
        <v>334</v>
      </c>
      <c r="D17" s="137"/>
      <c r="E17" s="138">
        <v>1.3888888888888888E-2</v>
      </c>
      <c r="F17" s="139"/>
      <c r="G17" s="139"/>
      <c r="H17" s="130"/>
      <c r="I17" s="130"/>
    </row>
    <row r="18" spans="1:9" ht="15" customHeight="1" x14ac:dyDescent="0.15">
      <c r="A18" s="355" t="s">
        <v>616</v>
      </c>
      <c r="B18" s="338" t="s">
        <v>617</v>
      </c>
      <c r="C18" s="148" t="s">
        <v>82</v>
      </c>
      <c r="D18" s="156" t="s">
        <v>354</v>
      </c>
      <c r="E18" s="219">
        <v>2.0833333333333333E-3</v>
      </c>
      <c r="F18" s="144"/>
      <c r="G18" s="144"/>
      <c r="H18" s="130"/>
      <c r="I18" s="130"/>
    </row>
    <row r="19" spans="1:9" ht="14" x14ac:dyDescent="0.15">
      <c r="A19" s="355"/>
      <c r="B19" s="333" t="s">
        <v>619</v>
      </c>
      <c r="C19" s="148" t="s">
        <v>436</v>
      </c>
      <c r="D19" s="157" t="s">
        <v>470</v>
      </c>
      <c r="E19" s="142">
        <v>2.2337962962962962E-3</v>
      </c>
      <c r="F19" s="143"/>
      <c r="G19" s="144"/>
      <c r="H19" s="130"/>
      <c r="I19" s="130"/>
    </row>
    <row r="20" spans="1:9" ht="14" x14ac:dyDescent="0.15">
      <c r="A20" s="355"/>
      <c r="B20" s="340" t="s">
        <v>620</v>
      </c>
      <c r="C20" s="148" t="s">
        <v>437</v>
      </c>
      <c r="D20" s="153" t="s">
        <v>349</v>
      </c>
      <c r="E20" s="142">
        <v>2.0601851851851853E-3</v>
      </c>
      <c r="F20" s="143"/>
      <c r="G20" s="144"/>
      <c r="H20" s="130"/>
      <c r="I20" s="130"/>
    </row>
    <row r="21" spans="1:9" ht="14" x14ac:dyDescent="0.15">
      <c r="A21" s="355"/>
      <c r="B21" s="340" t="s">
        <v>621</v>
      </c>
      <c r="C21" s="272" t="s">
        <v>438</v>
      </c>
      <c r="D21" s="153" t="s">
        <v>351</v>
      </c>
      <c r="E21" s="142">
        <v>2.488425925925926E-3</v>
      </c>
      <c r="F21" s="143"/>
      <c r="G21" s="144"/>
      <c r="H21" s="130"/>
      <c r="I21" s="130"/>
    </row>
    <row r="22" spans="1:9" ht="14" x14ac:dyDescent="0.15">
      <c r="A22" s="355"/>
      <c r="B22" s="338" t="s">
        <v>622</v>
      </c>
      <c r="C22" s="148" t="s">
        <v>83</v>
      </c>
      <c r="D22" s="154" t="s">
        <v>355</v>
      </c>
      <c r="E22" s="219">
        <v>2.0833333333333333E-3</v>
      </c>
      <c r="F22" s="143"/>
      <c r="G22" s="144"/>
      <c r="H22" s="130"/>
      <c r="I22" s="130"/>
    </row>
    <row r="23" spans="1:9" ht="14" x14ac:dyDescent="0.15">
      <c r="A23" s="355"/>
      <c r="B23" s="340" t="s">
        <v>623</v>
      </c>
      <c r="C23" s="272" t="s">
        <v>439</v>
      </c>
      <c r="D23" s="151" t="s">
        <v>462</v>
      </c>
      <c r="E23" s="142">
        <v>2.4189814814814816E-3</v>
      </c>
      <c r="F23" s="144"/>
      <c r="G23" s="144">
        <v>4</v>
      </c>
      <c r="H23" s="130"/>
      <c r="I23" s="130"/>
    </row>
    <row r="24" spans="1:9" ht="14" x14ac:dyDescent="0.15">
      <c r="A24" s="355"/>
      <c r="B24" s="337" t="s">
        <v>624</v>
      </c>
      <c r="C24" s="148" t="s">
        <v>91</v>
      </c>
      <c r="D24" s="152" t="s">
        <v>471</v>
      </c>
      <c r="E24" s="219">
        <v>2.0833333333333333E-3</v>
      </c>
      <c r="F24" s="143"/>
      <c r="G24" s="144">
        <v>12</v>
      </c>
      <c r="H24" s="130"/>
      <c r="I24" s="130"/>
    </row>
    <row r="25" spans="1:9" ht="14" x14ac:dyDescent="0.15">
      <c r="A25" s="355"/>
      <c r="B25" s="331" t="s">
        <v>625</v>
      </c>
      <c r="C25" s="148" t="s">
        <v>440</v>
      </c>
      <c r="D25" s="158" t="s">
        <v>472</v>
      </c>
      <c r="E25" s="142">
        <v>3.2407407407407406E-3</v>
      </c>
      <c r="F25" s="144"/>
      <c r="G25" s="144"/>
      <c r="H25" s="130"/>
      <c r="I25" s="130"/>
    </row>
    <row r="26" spans="1:9" ht="14" x14ac:dyDescent="0.15">
      <c r="A26" s="355"/>
      <c r="B26" s="337" t="s">
        <v>626</v>
      </c>
      <c r="C26" s="148" t="s">
        <v>88</v>
      </c>
      <c r="D26" s="152" t="s">
        <v>473</v>
      </c>
      <c r="E26" s="219">
        <v>2.0833333333333333E-3</v>
      </c>
      <c r="F26" s="144"/>
      <c r="G26" s="144">
        <v>1</v>
      </c>
      <c r="I26" s="130"/>
    </row>
    <row r="27" spans="1:9" ht="14" x14ac:dyDescent="0.15">
      <c r="A27" s="355"/>
      <c r="B27" s="340" t="s">
        <v>628</v>
      </c>
      <c r="C27" s="272" t="s">
        <v>441</v>
      </c>
      <c r="D27" s="153" t="s">
        <v>350</v>
      </c>
      <c r="E27" s="142">
        <v>3.0092592592592593E-3</v>
      </c>
      <c r="F27" s="144"/>
      <c r="G27" s="144"/>
      <c r="H27" s="130"/>
      <c r="I27" s="130"/>
    </row>
    <row r="28" spans="1:9" ht="14" x14ac:dyDescent="0.15">
      <c r="A28" s="355"/>
      <c r="B28" s="338" t="s">
        <v>629</v>
      </c>
      <c r="C28" s="148" t="s">
        <v>79</v>
      </c>
      <c r="D28" s="154" t="s">
        <v>356</v>
      </c>
      <c r="E28" s="219">
        <v>2.0833333333333333E-3</v>
      </c>
      <c r="F28" s="144"/>
      <c r="G28" s="144"/>
      <c r="H28" s="130"/>
      <c r="I28" s="130"/>
    </row>
    <row r="29" spans="1:9" ht="14" x14ac:dyDescent="0.15">
      <c r="A29" s="355"/>
      <c r="B29" s="340" t="s">
        <v>630</v>
      </c>
      <c r="C29" s="272" t="s">
        <v>442</v>
      </c>
      <c r="D29" s="153" t="s">
        <v>59</v>
      </c>
      <c r="E29" s="142">
        <v>1.9212962962962964E-3</v>
      </c>
      <c r="F29" s="144"/>
      <c r="G29" s="144"/>
      <c r="H29" s="130"/>
      <c r="I29" s="130"/>
    </row>
    <row r="30" spans="1:9" ht="14" x14ac:dyDescent="0.15">
      <c r="A30" s="355"/>
      <c r="B30" s="331" t="s">
        <v>631</v>
      </c>
      <c r="C30" s="272" t="s">
        <v>443</v>
      </c>
      <c r="D30" s="159" t="s">
        <v>332</v>
      </c>
      <c r="E30" s="142">
        <v>1.9097222222222222E-3</v>
      </c>
      <c r="F30" s="144"/>
      <c r="G30" s="144">
        <v>3</v>
      </c>
      <c r="H30" s="130"/>
      <c r="I30" s="130"/>
    </row>
    <row r="31" spans="1:9" ht="14" x14ac:dyDescent="0.15">
      <c r="A31" s="355"/>
      <c r="B31" s="337" t="s">
        <v>632</v>
      </c>
      <c r="C31" s="272" t="s">
        <v>80</v>
      </c>
      <c r="D31" s="160" t="s">
        <v>357</v>
      </c>
      <c r="E31" s="219">
        <v>2.0833333333333333E-3</v>
      </c>
      <c r="F31" s="144"/>
      <c r="G31" s="144"/>
      <c r="H31" s="130"/>
      <c r="I31" s="130"/>
    </row>
    <row r="32" spans="1:9" ht="13" x14ac:dyDescent="0.15">
      <c r="A32" s="355"/>
      <c r="B32" s="329" t="s">
        <v>618</v>
      </c>
      <c r="C32" s="136" t="s">
        <v>474</v>
      </c>
      <c r="D32" s="96"/>
      <c r="E32" s="138"/>
      <c r="F32" s="139"/>
      <c r="G32" s="139"/>
      <c r="H32" s="130"/>
      <c r="I32" s="130"/>
    </row>
    <row r="33" spans="1:9" ht="14" x14ac:dyDescent="0.15">
      <c r="A33" s="355"/>
      <c r="B33" s="331" t="s">
        <v>633</v>
      </c>
      <c r="C33" s="148" t="s">
        <v>45</v>
      </c>
      <c r="D33" s="161" t="s">
        <v>46</v>
      </c>
      <c r="E33" s="142">
        <v>3.1597222222222222E-3</v>
      </c>
      <c r="F33" s="144"/>
      <c r="G33" s="144"/>
      <c r="H33" s="130"/>
      <c r="I33" s="130"/>
    </row>
    <row r="34" spans="1:9" ht="13" x14ac:dyDescent="0.15">
      <c r="B34" s="131"/>
      <c r="C34" s="130"/>
      <c r="D34" s="130"/>
      <c r="E34" s="130"/>
      <c r="F34" s="131"/>
      <c r="G34" s="131"/>
      <c r="H34" s="130"/>
      <c r="I34" s="130"/>
    </row>
    <row r="35" spans="1:9" s="149" customFormat="1" ht="13" x14ac:dyDescent="0.15">
      <c r="B35" s="131"/>
      <c r="C35" s="130"/>
      <c r="D35" s="130"/>
      <c r="E35" s="130"/>
      <c r="H35" s="132"/>
    </row>
    <row r="36" spans="1:9" s="149" customFormat="1" ht="13" x14ac:dyDescent="0.15">
      <c r="B36" s="131"/>
      <c r="C36" s="130"/>
      <c r="D36" s="130"/>
      <c r="E36" s="130"/>
      <c r="H36" s="132"/>
    </row>
    <row r="37" spans="1:9" s="149" customFormat="1" ht="13" x14ac:dyDescent="0.15">
      <c r="B37" s="131"/>
      <c r="C37" s="130"/>
      <c r="D37" s="130"/>
      <c r="E37" s="130"/>
      <c r="H37" s="132"/>
    </row>
    <row r="38" spans="1:9" s="149" customFormat="1" ht="13" x14ac:dyDescent="0.15">
      <c r="B38" s="131"/>
      <c r="C38" s="130"/>
      <c r="D38" s="130"/>
      <c r="E38" s="130"/>
      <c r="H38" s="132"/>
    </row>
    <row r="39" spans="1:9" s="149" customFormat="1" ht="13" x14ac:dyDescent="0.15">
      <c r="B39" s="131"/>
      <c r="C39" s="130"/>
      <c r="D39" s="130"/>
      <c r="E39" s="130"/>
      <c r="H39" s="132"/>
    </row>
    <row r="40" spans="1:9" s="149" customFormat="1" ht="13" x14ac:dyDescent="0.15">
      <c r="B40" s="131"/>
      <c r="C40" s="130"/>
      <c r="D40" s="130"/>
      <c r="E40" s="130"/>
      <c r="H40" s="132"/>
    </row>
    <row r="41" spans="1:9" s="149" customFormat="1" ht="13" x14ac:dyDescent="0.15">
      <c r="B41" s="131"/>
      <c r="C41" s="130"/>
      <c r="D41" s="130"/>
      <c r="E41" s="130"/>
      <c r="H41" s="132"/>
    </row>
    <row r="42" spans="1:9" s="149" customFormat="1" ht="13" x14ac:dyDescent="0.15">
      <c r="B42" s="131"/>
      <c r="C42" s="130"/>
      <c r="D42" s="130"/>
      <c r="E42" s="130"/>
      <c r="H42" s="132"/>
    </row>
    <row r="43" spans="1:9" s="149" customFormat="1" ht="13" x14ac:dyDescent="0.15">
      <c r="B43" s="131"/>
      <c r="C43" s="130"/>
      <c r="D43" s="130"/>
      <c r="E43" s="130"/>
      <c r="H43" s="132"/>
    </row>
    <row r="44" spans="1:9" s="149" customFormat="1" ht="13" x14ac:dyDescent="0.15">
      <c r="B44" s="131"/>
      <c r="C44" s="130"/>
      <c r="D44" s="130"/>
      <c r="E44" s="130"/>
      <c r="H44" s="132"/>
    </row>
    <row r="45" spans="1:9" s="149" customFormat="1" ht="13" x14ac:dyDescent="0.15">
      <c r="B45" s="131"/>
      <c r="C45" s="130"/>
      <c r="D45" s="130"/>
      <c r="E45" s="130"/>
      <c r="H45" s="132"/>
    </row>
    <row r="46" spans="1:9" s="149" customFormat="1" ht="13" x14ac:dyDescent="0.15">
      <c r="B46" s="131"/>
      <c r="C46" s="130"/>
      <c r="D46" s="130"/>
      <c r="E46" s="130"/>
      <c r="H46" s="132"/>
    </row>
    <row r="47" spans="1:9" s="149" customFormat="1" ht="13" x14ac:dyDescent="0.15">
      <c r="B47" s="131"/>
      <c r="C47" s="130"/>
      <c r="D47" s="130"/>
      <c r="E47" s="130"/>
      <c r="H47" s="132"/>
    </row>
    <row r="48" spans="1:9" s="149" customFormat="1" ht="13" x14ac:dyDescent="0.15">
      <c r="B48" s="131"/>
      <c r="C48" s="130"/>
      <c r="D48" s="130"/>
      <c r="E48" s="130"/>
      <c r="H48" s="132"/>
      <c r="I48" s="132"/>
    </row>
    <row r="49" spans="2:8" s="149" customFormat="1" ht="13" x14ac:dyDescent="0.15">
      <c r="B49" s="131"/>
      <c r="C49" s="130"/>
      <c r="D49" s="130"/>
      <c r="E49" s="130"/>
      <c r="H49" s="132"/>
    </row>
    <row r="95" spans="2:9" s="149" customFormat="1" ht="13" x14ac:dyDescent="0.15">
      <c r="B95" s="131"/>
      <c r="C95" s="130"/>
      <c r="D95" s="130"/>
      <c r="E95" s="130"/>
      <c r="H95" s="132"/>
      <c r="I95" s="132"/>
    </row>
    <row r="96" spans="2:9" s="149" customFormat="1" ht="13" x14ac:dyDescent="0.15">
      <c r="B96" s="131"/>
      <c r="C96" s="130"/>
      <c r="D96" s="130"/>
      <c r="E96" s="130"/>
      <c r="H96" s="132"/>
      <c r="I96" s="132"/>
    </row>
    <row r="97" spans="2:9" s="149" customFormat="1" ht="13" x14ac:dyDescent="0.15">
      <c r="B97" s="131"/>
      <c r="C97" s="130"/>
      <c r="D97" s="130"/>
      <c r="E97" s="130"/>
      <c r="H97" s="132"/>
      <c r="I97" s="132"/>
    </row>
    <row r="98" spans="2:9" ht="13" x14ac:dyDescent="0.15">
      <c r="B98" s="131"/>
      <c r="C98" s="130"/>
      <c r="D98" s="130"/>
      <c r="E98" s="130"/>
      <c r="F98" s="131"/>
      <c r="G98" s="131"/>
      <c r="H98" s="130"/>
      <c r="I98" s="130"/>
    </row>
    <row r="99" spans="2:9" ht="13" x14ac:dyDescent="0.15">
      <c r="B99" s="131"/>
      <c r="C99" s="130"/>
      <c r="D99" s="130"/>
      <c r="E99" s="130"/>
      <c r="F99" s="131"/>
      <c r="G99" s="131"/>
      <c r="H99" s="130"/>
      <c r="I99" s="130"/>
    </row>
    <row r="100" spans="2:9" ht="13" x14ac:dyDescent="0.15">
      <c r="B100" s="131"/>
      <c r="C100" s="130"/>
      <c r="D100" s="130"/>
      <c r="E100" s="130"/>
      <c r="F100" s="131"/>
      <c r="G100" s="131"/>
      <c r="H100" s="130"/>
      <c r="I100" s="130"/>
    </row>
    <row r="101" spans="2:9" ht="13" x14ac:dyDescent="0.15">
      <c r="B101" s="131"/>
      <c r="C101" s="130"/>
      <c r="D101" s="130"/>
      <c r="E101" s="130"/>
      <c r="F101" s="131"/>
      <c r="G101" s="131"/>
      <c r="H101" s="130"/>
      <c r="I101" s="130"/>
    </row>
    <row r="102" spans="2:9" ht="13" x14ac:dyDescent="0.15">
      <c r="B102" s="131"/>
      <c r="C102" s="130"/>
      <c r="D102" s="130"/>
      <c r="E102" s="130"/>
      <c r="F102" s="131"/>
      <c r="G102" s="131"/>
      <c r="H102" s="130"/>
      <c r="I102" s="130"/>
    </row>
    <row r="103" spans="2:9" ht="13" x14ac:dyDescent="0.15">
      <c r="B103" s="131"/>
      <c r="C103" s="130"/>
      <c r="D103" s="130"/>
      <c r="E103" s="130"/>
      <c r="F103" s="131"/>
      <c r="G103" s="131"/>
      <c r="H103" s="130"/>
      <c r="I103" s="130"/>
    </row>
    <row r="104" spans="2:9" ht="13" x14ac:dyDescent="0.15">
      <c r="B104" s="131"/>
      <c r="C104" s="130"/>
      <c r="D104" s="130"/>
      <c r="E104" s="130"/>
      <c r="F104" s="131"/>
      <c r="G104" s="131"/>
      <c r="H104" s="130"/>
      <c r="I104" s="130"/>
    </row>
    <row r="105" spans="2:9" ht="13" x14ac:dyDescent="0.15">
      <c r="B105" s="131"/>
      <c r="C105" s="130"/>
      <c r="D105" s="130"/>
      <c r="E105" s="130"/>
      <c r="F105" s="131"/>
      <c r="G105" s="131"/>
      <c r="H105" s="130"/>
      <c r="I105" s="130"/>
    </row>
    <row r="106" spans="2:9" ht="13" x14ac:dyDescent="0.15">
      <c r="B106" s="131"/>
      <c r="C106" s="130"/>
      <c r="D106" s="130"/>
      <c r="E106" s="130"/>
      <c r="F106" s="131"/>
      <c r="G106" s="131"/>
      <c r="H106" s="130"/>
      <c r="I106" s="130"/>
    </row>
    <row r="107" spans="2:9" ht="13" x14ac:dyDescent="0.15">
      <c r="B107" s="131"/>
      <c r="C107" s="130"/>
      <c r="D107" s="130"/>
      <c r="E107" s="130"/>
      <c r="F107" s="131"/>
      <c r="G107" s="131"/>
      <c r="H107" s="130"/>
      <c r="I107" s="130"/>
    </row>
    <row r="108" spans="2:9" ht="13" x14ac:dyDescent="0.15">
      <c r="B108" s="131"/>
      <c r="C108" s="130"/>
      <c r="D108" s="130"/>
      <c r="E108" s="130"/>
      <c r="F108" s="131"/>
      <c r="G108" s="131"/>
      <c r="H108" s="130"/>
      <c r="I108" s="130"/>
    </row>
    <row r="109" spans="2:9" ht="13" x14ac:dyDescent="0.15">
      <c r="B109" s="131"/>
      <c r="C109" s="130"/>
      <c r="D109" s="130"/>
      <c r="E109" s="130"/>
      <c r="F109" s="131"/>
      <c r="G109" s="131"/>
      <c r="H109" s="130"/>
      <c r="I109" s="130"/>
    </row>
    <row r="110" spans="2:9" ht="13" x14ac:dyDescent="0.15">
      <c r="B110" s="131"/>
      <c r="C110" s="130"/>
      <c r="D110" s="130"/>
      <c r="E110" s="130"/>
      <c r="F110" s="131"/>
      <c r="G110" s="131"/>
      <c r="H110" s="130"/>
      <c r="I110" s="130"/>
    </row>
    <row r="111" spans="2:9" ht="13" x14ac:dyDescent="0.15">
      <c r="B111" s="131"/>
      <c r="C111" s="130"/>
      <c r="D111" s="130"/>
      <c r="E111" s="130"/>
      <c r="F111" s="131"/>
      <c r="G111" s="131"/>
      <c r="H111" s="130"/>
      <c r="I111" s="130"/>
    </row>
    <row r="112" spans="2:9" ht="13" x14ac:dyDescent="0.15">
      <c r="H112" s="130"/>
      <c r="I112" s="130"/>
    </row>
    <row r="113" spans="8:9" ht="13" x14ac:dyDescent="0.15">
      <c r="H113" s="130"/>
      <c r="I113" s="130"/>
    </row>
  </sheetData>
  <mergeCells count="6">
    <mergeCell ref="A18:A33"/>
    <mergeCell ref="C1:D1"/>
    <mergeCell ref="C2:D2"/>
    <mergeCell ref="F2:F3"/>
    <mergeCell ref="G2:G3"/>
    <mergeCell ref="A5:A16"/>
  </mergeCells>
  <phoneticPr fontId="83" type="noConversion"/>
  <printOptions horizontalCentered="1" verticalCentered="1"/>
  <pageMargins left="0.59055118110236227" right="0.59055118110236227" top="0.39370078740157483" bottom="0.39370078740157483" header="0.51181102362204722" footer="0.51181102362204722"/>
  <pageSetup paperSize="9" orientation="landscape" r:id="rId1"/>
  <headerFooter>
    <oddFooter>&amp;L&amp;D&amp;C&amp;A&amp;R&amp;P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baseColWidth="10" defaultRowHeight="13" x14ac:dyDescent="0.15"/>
  <sheetData>
    <row r="1" spans="1:1" x14ac:dyDescent="0.15">
      <c r="A1" s="162" t="s">
        <v>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0403-6C06-40C6-A684-ABC962624074}">
  <sheetPr>
    <outlinePr summaryBelow="0" summaryRight="0"/>
  </sheetPr>
  <dimension ref="A1:AY93"/>
  <sheetViews>
    <sheetView view="pageBreakPreview" topLeftCell="A10" zoomScale="70" zoomScaleNormal="90" zoomScaleSheetLayoutView="70" workbookViewId="0">
      <selection activeCell="F6" sqref="F6"/>
    </sheetView>
  </sheetViews>
  <sheetFormatPr baseColWidth="10" defaultColWidth="12.5" defaultRowHeight="15" customHeight="1" x14ac:dyDescent="0.15"/>
  <cols>
    <col min="1" max="1" width="6.5" style="132" customWidth="1"/>
    <col min="2" max="2" width="4.33203125" style="149" customWidth="1"/>
    <col min="3" max="3" width="25.5" style="132" customWidth="1"/>
    <col min="4" max="5" width="4.33203125" style="149" customWidth="1"/>
    <col min="6" max="6" width="29.6640625" style="132" bestFit="1" customWidth="1"/>
    <col min="7" max="8" width="4.33203125" style="149" customWidth="1"/>
    <col min="9" max="9" width="29.6640625" style="132" bestFit="1" customWidth="1"/>
    <col min="10" max="11" width="4.33203125" style="149" customWidth="1"/>
    <col min="12" max="12" width="27.83203125" style="132" bestFit="1" customWidth="1"/>
    <col min="13" max="14" width="4.33203125" style="149" customWidth="1"/>
    <col min="15" max="15" width="31" style="132" bestFit="1" customWidth="1"/>
    <col min="16" max="17" width="4.33203125" style="149" customWidth="1"/>
    <col min="18" max="18" width="27.83203125" style="132" bestFit="1" customWidth="1"/>
    <col min="19" max="20" width="4.33203125" style="149" customWidth="1"/>
    <col min="21" max="21" width="23.33203125" style="132" bestFit="1" customWidth="1"/>
    <col min="22" max="23" width="4.33203125" style="149" customWidth="1"/>
    <col min="24" max="24" width="25" style="132" bestFit="1" customWidth="1"/>
    <col min="25" max="26" width="4.33203125" style="149" customWidth="1"/>
    <col min="27" max="27" width="27.1640625" style="132" bestFit="1" customWidth="1"/>
    <col min="28" max="29" width="4.33203125" style="149" customWidth="1"/>
    <col min="30" max="30" width="25" style="132" bestFit="1" customWidth="1"/>
    <col min="31" max="32" width="4.33203125" style="149" customWidth="1"/>
    <col min="33" max="33" width="27.1640625" style="132" bestFit="1" customWidth="1"/>
    <col min="34" max="35" width="4.33203125" style="149" customWidth="1"/>
    <col min="36" max="36" width="25.33203125" style="132" bestFit="1" customWidth="1"/>
    <col min="37" max="38" width="4.33203125" style="149" customWidth="1"/>
    <col min="39" max="39" width="25.33203125" style="132" bestFit="1" customWidth="1"/>
    <col min="40" max="41" width="4.33203125" style="149" customWidth="1"/>
    <col min="42" max="42" width="25.33203125" style="132" bestFit="1" customWidth="1"/>
    <col min="43" max="44" width="4.33203125" style="149" customWidth="1"/>
    <col min="45" max="45" width="25.33203125" style="132" bestFit="1" customWidth="1"/>
    <col min="46" max="47" width="4.33203125" style="149" customWidth="1"/>
    <col min="48" max="48" width="25.33203125" style="132" bestFit="1" customWidth="1"/>
    <col min="49" max="49" width="11.5" style="57" customWidth="1"/>
    <col min="50" max="16384" width="12.5" style="132"/>
  </cols>
  <sheetData>
    <row r="1" spans="1:51" ht="20.25" customHeight="1" x14ac:dyDescent="0.15">
      <c r="A1" s="163"/>
      <c r="B1" s="164"/>
      <c r="C1" s="163"/>
      <c r="D1" s="164"/>
      <c r="E1" s="164"/>
      <c r="F1" s="163"/>
      <c r="G1" s="164"/>
      <c r="H1" s="164"/>
      <c r="I1" s="163"/>
      <c r="J1" s="164"/>
      <c r="K1" s="164"/>
      <c r="L1" s="163"/>
      <c r="M1" s="164"/>
      <c r="N1" s="164"/>
      <c r="O1" s="130"/>
      <c r="P1" s="164"/>
      <c r="Q1" s="164"/>
      <c r="R1" s="366" t="s">
        <v>348</v>
      </c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164"/>
      <c r="AF1" s="164"/>
      <c r="AG1" s="130"/>
      <c r="AH1" s="164"/>
      <c r="AI1" s="164"/>
      <c r="AJ1" s="130"/>
      <c r="AK1" s="164"/>
      <c r="AL1" s="130"/>
      <c r="AM1" s="130"/>
      <c r="AN1" s="130"/>
      <c r="AO1" s="164"/>
      <c r="AP1" s="130"/>
      <c r="AQ1" s="164"/>
      <c r="AR1" s="164"/>
      <c r="AS1" s="130"/>
      <c r="AT1" s="164"/>
      <c r="AU1" s="164"/>
      <c r="AV1" s="130"/>
      <c r="AW1" s="260"/>
      <c r="AX1" s="130"/>
      <c r="AY1" s="130"/>
    </row>
    <row r="2" spans="1:51" ht="20" x14ac:dyDescent="0.15">
      <c r="A2" s="367" t="s">
        <v>359</v>
      </c>
      <c r="B2" s="367"/>
      <c r="C2" s="367"/>
      <c r="D2" s="367"/>
      <c r="E2" s="367"/>
      <c r="F2" s="367"/>
      <c r="G2" s="367"/>
      <c r="H2" s="367"/>
      <c r="I2" s="367"/>
      <c r="J2" s="164"/>
      <c r="K2" s="164"/>
      <c r="L2" s="163"/>
      <c r="M2" s="164"/>
      <c r="N2" s="164"/>
      <c r="O2" s="130"/>
      <c r="P2" s="164"/>
      <c r="Q2" s="164"/>
      <c r="R2" s="366" t="s">
        <v>482</v>
      </c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164"/>
      <c r="AF2" s="164"/>
      <c r="AG2" s="130"/>
      <c r="AH2" s="164"/>
      <c r="AI2" s="164"/>
      <c r="AJ2" s="130"/>
      <c r="AK2" s="164"/>
      <c r="AL2" s="164"/>
      <c r="AM2" s="130"/>
      <c r="AN2" s="164"/>
      <c r="AO2" s="164"/>
      <c r="AP2" s="130"/>
      <c r="AQ2" s="164"/>
      <c r="AR2" s="164"/>
      <c r="AS2" s="130"/>
      <c r="AT2" s="164"/>
      <c r="AU2" s="164"/>
      <c r="AV2" s="130"/>
      <c r="AW2" s="260"/>
      <c r="AX2" s="130"/>
      <c r="AY2" s="130"/>
    </row>
    <row r="3" spans="1:51" ht="12.75" customHeight="1" x14ac:dyDescent="0.15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30"/>
      <c r="P3" s="164"/>
      <c r="Q3" s="164"/>
      <c r="S3" s="164"/>
      <c r="T3" s="164"/>
      <c r="V3" s="164"/>
      <c r="W3" s="164"/>
      <c r="Y3" s="164"/>
      <c r="Z3" s="164"/>
      <c r="AA3" s="130"/>
      <c r="AB3" s="164"/>
      <c r="AC3" s="164"/>
      <c r="AD3" s="130"/>
      <c r="AE3" s="164"/>
      <c r="AF3" s="164"/>
      <c r="AG3" s="130"/>
      <c r="AH3" s="164"/>
      <c r="AI3" s="164"/>
      <c r="AJ3" s="130"/>
      <c r="AK3" s="164"/>
      <c r="AL3" s="164"/>
      <c r="AM3" s="130"/>
      <c r="AN3" s="164"/>
      <c r="AO3" s="164"/>
      <c r="AP3" s="130"/>
      <c r="AQ3" s="164"/>
      <c r="AR3" s="164"/>
      <c r="AS3" s="130"/>
      <c r="AT3" s="164"/>
      <c r="AU3" s="164"/>
      <c r="AV3" s="130"/>
      <c r="AW3" s="260"/>
      <c r="AX3" s="130"/>
      <c r="AY3" s="130"/>
    </row>
    <row r="4" spans="1:51" ht="13" x14ac:dyDescent="0.15">
      <c r="A4" s="165"/>
      <c r="B4" s="285"/>
      <c r="C4" s="165" t="s">
        <v>360</v>
      </c>
      <c r="D4" s="285"/>
      <c r="E4" s="285"/>
      <c r="F4" s="166" t="s">
        <v>361</v>
      </c>
      <c r="G4" s="285"/>
      <c r="H4" s="285"/>
      <c r="I4" s="167" t="s">
        <v>362</v>
      </c>
      <c r="J4" s="285"/>
      <c r="K4" s="285"/>
      <c r="L4" s="168" t="s">
        <v>363</v>
      </c>
      <c r="M4" s="285"/>
      <c r="N4" s="285"/>
      <c r="O4" s="269" t="s">
        <v>364</v>
      </c>
      <c r="P4" s="285"/>
      <c r="Q4" s="285"/>
      <c r="S4" s="285"/>
      <c r="T4" s="285"/>
      <c r="V4" s="285"/>
      <c r="W4" s="285"/>
      <c r="Y4" s="285"/>
      <c r="Z4" s="285"/>
      <c r="AA4" s="130"/>
      <c r="AB4" s="285"/>
      <c r="AC4" s="285"/>
      <c r="AD4" s="130"/>
      <c r="AE4" s="285"/>
      <c r="AF4" s="285"/>
      <c r="AG4" s="130"/>
      <c r="AH4" s="285"/>
      <c r="AI4" s="285"/>
      <c r="AJ4" s="199"/>
      <c r="AK4" s="285"/>
      <c r="AL4" s="285"/>
      <c r="AM4" s="199"/>
      <c r="AN4" s="285"/>
      <c r="AO4" s="285"/>
      <c r="AP4" s="199"/>
      <c r="AQ4" s="285"/>
      <c r="AR4" s="285"/>
      <c r="AS4" s="199"/>
      <c r="AT4" s="285"/>
      <c r="AU4" s="285"/>
      <c r="AV4" s="199"/>
      <c r="AW4" s="260"/>
      <c r="AX4" s="130"/>
      <c r="AY4" s="130"/>
    </row>
    <row r="5" spans="1:51" ht="13" x14ac:dyDescent="0.15">
      <c r="A5" s="165"/>
      <c r="B5" s="285"/>
      <c r="C5" s="169" t="s">
        <v>365</v>
      </c>
      <c r="D5" s="285"/>
      <c r="E5" s="285"/>
      <c r="F5" s="165" t="s">
        <v>366</v>
      </c>
      <c r="G5" s="285"/>
      <c r="H5" s="285"/>
      <c r="I5" s="165" t="s">
        <v>367</v>
      </c>
      <c r="J5" s="285"/>
      <c r="K5" s="285"/>
      <c r="L5" s="130" t="s">
        <v>363</v>
      </c>
      <c r="M5" s="285"/>
      <c r="N5" s="285"/>
      <c r="O5" s="130" t="s">
        <v>368</v>
      </c>
      <c r="P5" s="285"/>
      <c r="Q5" s="285"/>
      <c r="S5" s="285"/>
      <c r="T5" s="285"/>
      <c r="V5" s="285"/>
      <c r="W5" s="285"/>
      <c r="Y5" s="285"/>
      <c r="Z5" s="285"/>
      <c r="AB5" s="285"/>
      <c r="AC5" s="285"/>
      <c r="AE5" s="285"/>
      <c r="AF5" s="285"/>
      <c r="AG5" s="130"/>
      <c r="AH5" s="285"/>
      <c r="AI5" s="285"/>
      <c r="AJ5" s="199"/>
      <c r="AK5" s="285"/>
      <c r="AL5" s="285"/>
      <c r="AM5" s="199"/>
      <c r="AN5" s="285"/>
      <c r="AO5" s="285"/>
      <c r="AP5" s="199"/>
      <c r="AQ5" s="285"/>
      <c r="AR5" s="285"/>
      <c r="AS5" s="199"/>
      <c r="AT5" s="285"/>
      <c r="AU5" s="285"/>
      <c r="AV5" s="199"/>
      <c r="AW5" s="260"/>
      <c r="AX5" s="130"/>
      <c r="AY5" s="130"/>
    </row>
    <row r="6" spans="1:51" ht="28" x14ac:dyDescent="0.15">
      <c r="A6" s="165"/>
      <c r="B6" s="285"/>
      <c r="C6" s="248" t="s">
        <v>480</v>
      </c>
      <c r="D6" s="285"/>
      <c r="E6" s="285"/>
      <c r="F6" s="271" t="s">
        <v>493</v>
      </c>
      <c r="G6" s="285"/>
      <c r="H6" s="285"/>
      <c r="I6" s="165"/>
      <c r="J6" s="285"/>
      <c r="K6" s="285"/>
      <c r="L6" s="165"/>
      <c r="M6" s="285"/>
      <c r="N6" s="285"/>
      <c r="O6" s="165"/>
      <c r="P6" s="285"/>
      <c r="Q6" s="285"/>
      <c r="R6" s="248" t="s">
        <v>480</v>
      </c>
      <c r="S6" s="285"/>
      <c r="T6" s="285"/>
      <c r="U6" s="271" t="s">
        <v>491</v>
      </c>
      <c r="V6" s="285"/>
      <c r="W6" s="285"/>
      <c r="Y6" s="285"/>
      <c r="Z6" s="285"/>
      <c r="AB6" s="285"/>
      <c r="AC6" s="285"/>
      <c r="AE6" s="285"/>
      <c r="AF6" s="285"/>
      <c r="AG6" s="130"/>
      <c r="AH6" s="285"/>
      <c r="AI6" s="285"/>
      <c r="AJ6" s="248" t="s">
        <v>480</v>
      </c>
      <c r="AK6" s="285"/>
      <c r="AL6" s="285"/>
      <c r="AM6" s="271" t="s">
        <v>492</v>
      </c>
      <c r="AN6" s="285"/>
      <c r="AO6" s="285"/>
      <c r="AP6" s="199"/>
      <c r="AQ6" s="285"/>
      <c r="AR6" s="285"/>
      <c r="AS6" s="199"/>
      <c r="AT6" s="285"/>
      <c r="AU6" s="285"/>
      <c r="AV6" s="199"/>
      <c r="AW6" s="260"/>
      <c r="AX6" s="130"/>
      <c r="AY6" s="130"/>
    </row>
    <row r="7" spans="1:51" ht="13" x14ac:dyDescent="0.15">
      <c r="A7" s="165"/>
      <c r="B7" s="285"/>
      <c r="C7" s="169"/>
      <c r="D7" s="285"/>
      <c r="E7" s="285"/>
      <c r="F7" s="165"/>
      <c r="G7" s="285"/>
      <c r="H7" s="285"/>
      <c r="I7" s="165"/>
      <c r="J7" s="285"/>
      <c r="K7" s="285"/>
      <c r="L7" s="130"/>
      <c r="M7" s="285"/>
      <c r="N7" s="285"/>
      <c r="O7" s="170">
        <v>3</v>
      </c>
      <c r="P7" s="285"/>
      <c r="Q7" s="285"/>
      <c r="S7" s="285"/>
      <c r="T7" s="285"/>
      <c r="U7" s="170">
        <v>2</v>
      </c>
      <c r="V7" s="285"/>
      <c r="W7" s="285"/>
      <c r="Y7" s="285"/>
      <c r="Z7" s="285"/>
      <c r="AA7" s="170">
        <v>1</v>
      </c>
      <c r="AB7" s="285"/>
      <c r="AC7" s="285"/>
      <c r="AE7" s="285"/>
      <c r="AF7" s="285"/>
      <c r="AG7" s="170">
        <v>3</v>
      </c>
      <c r="AH7" s="285"/>
      <c r="AI7" s="285"/>
      <c r="AJ7" s="199"/>
      <c r="AK7" s="285"/>
      <c r="AL7" s="285"/>
      <c r="AM7" s="260"/>
      <c r="AN7" s="131"/>
      <c r="AO7" s="131"/>
      <c r="AP7" s="130"/>
      <c r="AQ7" s="131"/>
      <c r="AR7" s="131"/>
      <c r="AS7" s="130"/>
      <c r="AT7" s="131"/>
      <c r="AU7" s="131"/>
      <c r="AV7" s="130"/>
      <c r="AW7" s="130"/>
      <c r="AX7" s="130"/>
      <c r="AY7" s="130"/>
    </row>
    <row r="8" spans="1:51" ht="13" x14ac:dyDescent="0.15">
      <c r="A8" s="140" t="s">
        <v>319</v>
      </c>
      <c r="B8" s="285"/>
      <c r="C8" s="165"/>
      <c r="D8" s="285"/>
      <c r="E8" s="285"/>
      <c r="F8" s="165"/>
      <c r="G8" s="285"/>
      <c r="H8" s="285"/>
      <c r="I8" s="165"/>
      <c r="J8" s="285"/>
      <c r="K8" s="285"/>
      <c r="L8" s="130"/>
      <c r="M8" s="285"/>
      <c r="N8" s="285"/>
      <c r="O8" s="167" t="s">
        <v>362</v>
      </c>
      <c r="P8" s="285"/>
      <c r="Q8" s="285"/>
      <c r="S8" s="285"/>
      <c r="T8" s="285"/>
      <c r="U8" s="167" t="s">
        <v>362</v>
      </c>
      <c r="V8" s="285"/>
      <c r="W8" s="285"/>
      <c r="Y8" s="285"/>
      <c r="Z8" s="285"/>
      <c r="AA8" s="167" t="s">
        <v>362</v>
      </c>
      <c r="AB8" s="285"/>
      <c r="AC8" s="285"/>
      <c r="AE8" s="285"/>
      <c r="AF8" s="285"/>
      <c r="AG8" s="167" t="s">
        <v>362</v>
      </c>
      <c r="AH8" s="285"/>
      <c r="AI8" s="285"/>
      <c r="AJ8" s="199"/>
      <c r="AK8" s="285"/>
      <c r="AL8" s="285"/>
      <c r="AM8" s="260"/>
      <c r="AN8" s="131"/>
      <c r="AO8" s="131"/>
      <c r="AP8" s="130"/>
      <c r="AQ8" s="131"/>
      <c r="AR8" s="131"/>
      <c r="AS8" s="130"/>
      <c r="AT8" s="131"/>
      <c r="AU8" s="131"/>
      <c r="AV8" s="130"/>
      <c r="AW8" s="130"/>
      <c r="AX8" s="130"/>
      <c r="AY8" s="130"/>
    </row>
    <row r="9" spans="1:51" ht="15" customHeight="1" thickBot="1" x14ac:dyDescent="0.2">
      <c r="A9" s="171" t="s">
        <v>320</v>
      </c>
      <c r="B9" s="286"/>
      <c r="C9" s="165"/>
      <c r="D9" s="286"/>
      <c r="E9" s="286"/>
      <c r="F9" s="130"/>
      <c r="G9" s="286"/>
      <c r="H9" s="286"/>
      <c r="I9" s="130"/>
      <c r="J9" s="286"/>
      <c r="K9" s="286"/>
      <c r="L9" s="130"/>
      <c r="M9" s="286"/>
      <c r="N9" s="286"/>
      <c r="O9" s="130"/>
      <c r="P9" s="286"/>
      <c r="Q9" s="286"/>
      <c r="R9" s="130"/>
      <c r="S9" s="286"/>
      <c r="T9" s="286"/>
      <c r="U9" s="130"/>
      <c r="V9" s="286"/>
      <c r="W9" s="286"/>
      <c r="X9" s="130"/>
      <c r="Y9" s="286"/>
      <c r="Z9" s="286"/>
      <c r="AA9" s="130"/>
      <c r="AB9" s="286"/>
      <c r="AC9" s="286"/>
      <c r="AD9" s="130"/>
      <c r="AE9" s="286"/>
      <c r="AF9" s="286"/>
      <c r="AG9" s="130"/>
      <c r="AH9" s="286"/>
      <c r="AI9" s="286"/>
      <c r="AJ9" s="199"/>
      <c r="AK9" s="286"/>
      <c r="AL9" s="286"/>
      <c r="AM9" s="260"/>
      <c r="AN9" s="131"/>
      <c r="AO9" s="131"/>
      <c r="AP9" s="130"/>
      <c r="AQ9" s="131"/>
      <c r="AR9" s="131"/>
      <c r="AS9" s="130"/>
      <c r="AT9" s="131"/>
      <c r="AU9" s="131"/>
      <c r="AV9" s="130"/>
      <c r="AW9" s="130"/>
      <c r="AX9" s="130"/>
      <c r="AY9" s="130"/>
    </row>
    <row r="10" spans="1:51" ht="13" x14ac:dyDescent="0.15">
      <c r="A10" s="273" t="s">
        <v>319</v>
      </c>
      <c r="B10" s="287"/>
      <c r="C10" s="278" t="s">
        <v>321</v>
      </c>
      <c r="D10" s="295"/>
      <c r="E10" s="287"/>
      <c r="F10" s="278" t="s">
        <v>322</v>
      </c>
      <c r="G10" s="295"/>
      <c r="H10" s="287"/>
      <c r="I10" s="278" t="s">
        <v>323</v>
      </c>
      <c r="J10" s="295"/>
      <c r="K10" s="287"/>
      <c r="L10" s="278" t="s">
        <v>324</v>
      </c>
      <c r="M10" s="295"/>
      <c r="N10" s="287"/>
      <c r="O10" s="278" t="s">
        <v>325</v>
      </c>
      <c r="P10" s="295"/>
      <c r="Q10" s="287"/>
      <c r="R10" s="278" t="s">
        <v>326</v>
      </c>
      <c r="S10" s="295"/>
      <c r="T10" s="287"/>
      <c r="U10" s="278" t="s">
        <v>327</v>
      </c>
      <c r="V10" s="295"/>
      <c r="W10" s="287"/>
      <c r="X10" s="278" t="s">
        <v>328</v>
      </c>
      <c r="Y10" s="295"/>
      <c r="Z10" s="287"/>
      <c r="AA10" s="278" t="s">
        <v>463</v>
      </c>
      <c r="AB10" s="295"/>
      <c r="AC10" s="287"/>
      <c r="AD10" s="278" t="s">
        <v>329</v>
      </c>
      <c r="AE10" s="295"/>
      <c r="AF10" s="287"/>
      <c r="AG10" s="278" t="s">
        <v>330</v>
      </c>
      <c r="AH10" s="295"/>
      <c r="AI10" s="287"/>
      <c r="AJ10" s="278" t="s">
        <v>331</v>
      </c>
      <c r="AK10" s="295"/>
      <c r="AL10" s="131"/>
      <c r="AM10" s="260"/>
      <c r="AN10" s="131"/>
      <c r="AO10" s="131"/>
      <c r="AP10" s="130"/>
      <c r="AQ10" s="131"/>
      <c r="AR10" s="131"/>
      <c r="AS10" s="130"/>
      <c r="AT10" s="131"/>
      <c r="AU10" s="131"/>
      <c r="AV10" s="130"/>
      <c r="AW10" s="130"/>
      <c r="AX10" s="130"/>
      <c r="AY10" s="130"/>
    </row>
    <row r="11" spans="1:51" s="175" customFormat="1" ht="30" x14ac:dyDescent="0.15">
      <c r="A11" s="274" t="s">
        <v>369</v>
      </c>
      <c r="B11" s="288"/>
      <c r="C11" s="172" t="s">
        <v>435</v>
      </c>
      <c r="D11" s="296"/>
      <c r="E11" s="288"/>
      <c r="F11" s="172" t="s">
        <v>444</v>
      </c>
      <c r="G11" s="296"/>
      <c r="H11" s="288"/>
      <c r="I11" s="173" t="s">
        <v>445</v>
      </c>
      <c r="J11" s="296"/>
      <c r="K11" s="288"/>
      <c r="L11" s="173" t="s">
        <v>446</v>
      </c>
      <c r="M11" s="296"/>
      <c r="N11" s="288"/>
      <c r="O11" s="173" t="s">
        <v>89</v>
      </c>
      <c r="P11" s="296"/>
      <c r="Q11" s="288"/>
      <c r="R11" s="173" t="s">
        <v>447</v>
      </c>
      <c r="S11" s="296"/>
      <c r="T11" s="288"/>
      <c r="U11" s="172" t="s">
        <v>448</v>
      </c>
      <c r="V11" s="296"/>
      <c r="W11" s="288"/>
      <c r="X11" s="173" t="s">
        <v>84</v>
      </c>
      <c r="Y11" s="296"/>
      <c r="Z11" s="288"/>
      <c r="AA11" s="173" t="s">
        <v>450</v>
      </c>
      <c r="AB11" s="296"/>
      <c r="AC11" s="288"/>
      <c r="AD11" s="173" t="s">
        <v>90</v>
      </c>
      <c r="AE11" s="296"/>
      <c r="AF11" s="288"/>
      <c r="AG11" s="172" t="s">
        <v>449</v>
      </c>
      <c r="AH11" s="296"/>
      <c r="AI11" s="288"/>
      <c r="AJ11" s="173" t="s">
        <v>85</v>
      </c>
      <c r="AK11" s="296"/>
      <c r="AL11" s="303"/>
      <c r="AM11" s="313" t="s">
        <v>573</v>
      </c>
      <c r="AN11" s="303"/>
      <c r="AO11" s="303"/>
      <c r="AP11" s="174"/>
      <c r="AQ11" s="303"/>
      <c r="AR11" s="303"/>
      <c r="AS11" s="174"/>
      <c r="AT11" s="303"/>
      <c r="AU11" s="303"/>
      <c r="AV11" s="174"/>
      <c r="AW11" s="174"/>
      <c r="AY11" s="174"/>
    </row>
    <row r="12" spans="1:51" ht="28" x14ac:dyDescent="0.15">
      <c r="A12" s="275"/>
      <c r="B12" s="289" t="s">
        <v>490</v>
      </c>
      <c r="C12" s="254" t="s">
        <v>53</v>
      </c>
      <c r="D12" s="297" t="s">
        <v>489</v>
      </c>
      <c r="E12" s="289" t="s">
        <v>490</v>
      </c>
      <c r="F12" s="247" t="s">
        <v>55</v>
      </c>
      <c r="G12" s="300" t="s">
        <v>489</v>
      </c>
      <c r="H12" s="301" t="s">
        <v>490</v>
      </c>
      <c r="I12" s="253" t="s">
        <v>59</v>
      </c>
      <c r="J12" s="300" t="s">
        <v>489</v>
      </c>
      <c r="K12" s="301" t="s">
        <v>490</v>
      </c>
      <c r="L12" s="253" t="s">
        <v>461</v>
      </c>
      <c r="M12" s="300" t="s">
        <v>489</v>
      </c>
      <c r="N12" s="301" t="s">
        <v>490</v>
      </c>
      <c r="O12" s="245" t="s">
        <v>465</v>
      </c>
      <c r="P12" s="300" t="s">
        <v>489</v>
      </c>
      <c r="Q12" s="301" t="s">
        <v>490</v>
      </c>
      <c r="R12" s="243" t="s">
        <v>466</v>
      </c>
      <c r="S12" s="300" t="s">
        <v>489</v>
      </c>
      <c r="T12" s="301" t="s">
        <v>490</v>
      </c>
      <c r="U12" s="243" t="s">
        <v>350</v>
      </c>
      <c r="V12" s="300" t="s">
        <v>489</v>
      </c>
      <c r="W12" s="301" t="s">
        <v>490</v>
      </c>
      <c r="X12" s="244" t="s">
        <v>467</v>
      </c>
      <c r="Y12" s="300" t="s">
        <v>489</v>
      </c>
      <c r="Z12" s="301" t="s">
        <v>490</v>
      </c>
      <c r="AA12" s="252" t="s">
        <v>464</v>
      </c>
      <c r="AB12" s="300" t="s">
        <v>489</v>
      </c>
      <c r="AC12" s="301" t="s">
        <v>490</v>
      </c>
      <c r="AD12" s="245" t="s">
        <v>469</v>
      </c>
      <c r="AE12" s="300" t="s">
        <v>489</v>
      </c>
      <c r="AF12" s="301" t="s">
        <v>490</v>
      </c>
      <c r="AG12" s="243" t="s">
        <v>351</v>
      </c>
      <c r="AH12" s="300" t="s">
        <v>489</v>
      </c>
      <c r="AI12" s="301" t="s">
        <v>490</v>
      </c>
      <c r="AJ12" s="251" t="s">
        <v>352</v>
      </c>
      <c r="AK12" s="300" t="s">
        <v>489</v>
      </c>
      <c r="AL12" s="131"/>
      <c r="AM12" s="262" t="s">
        <v>483</v>
      </c>
      <c r="AN12" s="131"/>
      <c r="AO12" s="131"/>
      <c r="AP12" s="130"/>
      <c r="AQ12" s="131"/>
      <c r="AR12" s="131"/>
      <c r="AS12" s="130"/>
      <c r="AT12" s="131"/>
      <c r="AU12" s="131"/>
      <c r="AV12" s="130"/>
      <c r="AW12" s="130"/>
      <c r="AX12" s="130"/>
      <c r="AY12" s="130"/>
    </row>
    <row r="13" spans="1:51" ht="13" x14ac:dyDescent="0.15">
      <c r="A13" s="276" t="s">
        <v>370</v>
      </c>
      <c r="B13" s="279"/>
      <c r="C13" s="176">
        <f>COUNTA(C14:C41)</f>
        <v>9</v>
      </c>
      <c r="D13" s="283" t="s">
        <v>494</v>
      </c>
      <c r="E13" s="279"/>
      <c r="F13" s="176">
        <f>COUNTA(F14:F41)</f>
        <v>10</v>
      </c>
      <c r="G13" s="283" t="s">
        <v>494</v>
      </c>
      <c r="H13" s="279"/>
      <c r="I13" s="176">
        <f>COUNTA(I14:I41)</f>
        <v>16</v>
      </c>
      <c r="J13" s="283" t="s">
        <v>494</v>
      </c>
      <c r="K13" s="279"/>
      <c r="L13" s="176">
        <f>COUNTA(L14:L41)</f>
        <v>18</v>
      </c>
      <c r="M13" s="283" t="s">
        <v>530</v>
      </c>
      <c r="N13" s="279"/>
      <c r="O13" s="176">
        <f>COUNTA(O14:O36)</f>
        <v>17</v>
      </c>
      <c r="P13" s="280"/>
      <c r="Q13" s="279"/>
      <c r="R13" s="176">
        <f>COUNTA(R14:R41)</f>
        <v>14</v>
      </c>
      <c r="S13" s="283" t="s">
        <v>530</v>
      </c>
      <c r="T13" s="279"/>
      <c r="U13" s="176">
        <f>COUNTA(U14:U36)</f>
        <v>12</v>
      </c>
      <c r="V13" s="283" t="s">
        <v>495</v>
      </c>
      <c r="W13" s="279"/>
      <c r="X13" s="176">
        <f>COUNTA(X14:X41)</f>
        <v>7</v>
      </c>
      <c r="Y13" s="280"/>
      <c r="Z13" s="279"/>
      <c r="AA13" s="176">
        <f>COUNTA(AA14:AA36)</f>
        <v>0</v>
      </c>
      <c r="AB13" s="280"/>
      <c r="AC13" s="279"/>
      <c r="AD13" s="176">
        <f>COUNTA(AD14:AD41)</f>
        <v>21</v>
      </c>
      <c r="AE13" s="280"/>
      <c r="AF13" s="279"/>
      <c r="AG13" s="176">
        <f>COUNTA(AG14:AG36)</f>
        <v>16</v>
      </c>
      <c r="AH13" s="283" t="s">
        <v>530</v>
      </c>
      <c r="AI13" s="279"/>
      <c r="AJ13" s="176">
        <f>COUNTA(AJ14:AJ41)</f>
        <v>12</v>
      </c>
      <c r="AK13" s="280"/>
      <c r="AL13" s="304"/>
      <c r="AM13" s="263"/>
      <c r="AN13" s="131"/>
      <c r="AO13" s="131"/>
      <c r="AP13" s="130"/>
      <c r="AQ13" s="131"/>
      <c r="AR13" s="131"/>
      <c r="AS13" s="130"/>
      <c r="AT13" s="131"/>
      <c r="AU13" s="131"/>
      <c r="AV13" s="130"/>
      <c r="AW13" s="130"/>
      <c r="AY13" s="130"/>
    </row>
    <row r="14" spans="1:51" ht="13" x14ac:dyDescent="0.15">
      <c r="A14" s="273"/>
      <c r="B14" s="290" t="s">
        <v>495</v>
      </c>
      <c r="C14" s="220" t="s">
        <v>496</v>
      </c>
      <c r="D14" s="298" t="s">
        <v>494</v>
      </c>
      <c r="E14" s="290" t="s">
        <v>495</v>
      </c>
      <c r="F14" s="220" t="s">
        <v>505</v>
      </c>
      <c r="G14" s="298" t="s">
        <v>494</v>
      </c>
      <c r="H14" s="290" t="s">
        <v>495</v>
      </c>
      <c r="I14" s="220" t="s">
        <v>514</v>
      </c>
      <c r="J14" s="298" t="s">
        <v>494</v>
      </c>
      <c r="K14" s="290" t="s">
        <v>495</v>
      </c>
      <c r="L14" s="236" t="s">
        <v>531</v>
      </c>
      <c r="M14" s="298"/>
      <c r="N14" s="292"/>
      <c r="O14" s="221" t="s">
        <v>101</v>
      </c>
      <c r="P14" s="298"/>
      <c r="Q14" s="290" t="s">
        <v>495</v>
      </c>
      <c r="R14" s="180" t="s">
        <v>550</v>
      </c>
      <c r="S14" s="298"/>
      <c r="T14" s="290" t="s">
        <v>495</v>
      </c>
      <c r="U14" s="220" t="s">
        <v>561</v>
      </c>
      <c r="V14" s="298" t="s">
        <v>495</v>
      </c>
      <c r="W14" s="292"/>
      <c r="X14" s="221" t="s">
        <v>128</v>
      </c>
      <c r="Y14" s="298"/>
      <c r="Z14" s="292"/>
      <c r="AA14" s="200"/>
      <c r="AB14" s="298"/>
      <c r="AC14" s="292"/>
      <c r="AD14" s="180" t="s">
        <v>110</v>
      </c>
      <c r="AE14" s="298"/>
      <c r="AF14" s="290" t="s">
        <v>495</v>
      </c>
      <c r="AG14" s="220" t="s">
        <v>580</v>
      </c>
      <c r="AH14" s="298"/>
      <c r="AI14" s="292"/>
      <c r="AJ14" s="221" t="s">
        <v>128</v>
      </c>
      <c r="AK14" s="298"/>
      <c r="AL14" s="305"/>
      <c r="AM14" s="264"/>
      <c r="AN14" s="131"/>
      <c r="AO14" s="131"/>
      <c r="AP14" s="130"/>
      <c r="AQ14" s="131"/>
      <c r="AR14" s="131"/>
      <c r="AS14" s="130"/>
      <c r="AT14" s="131"/>
      <c r="AU14" s="131"/>
      <c r="AV14" s="130"/>
      <c r="AW14" s="130"/>
      <c r="AX14" s="130"/>
      <c r="AY14" s="130"/>
    </row>
    <row r="15" spans="1:51" ht="13" x14ac:dyDescent="0.15">
      <c r="A15" s="273"/>
      <c r="B15" s="290" t="s">
        <v>495</v>
      </c>
      <c r="C15" s="220" t="s">
        <v>497</v>
      </c>
      <c r="D15" s="298" t="s">
        <v>494</v>
      </c>
      <c r="E15" s="290" t="s">
        <v>495</v>
      </c>
      <c r="F15" s="220" t="s">
        <v>506</v>
      </c>
      <c r="G15" s="298" t="s">
        <v>494</v>
      </c>
      <c r="H15" s="290" t="s">
        <v>495</v>
      </c>
      <c r="I15" s="220" t="s">
        <v>515</v>
      </c>
      <c r="J15" s="298" t="s">
        <v>494</v>
      </c>
      <c r="K15" s="290" t="s">
        <v>495</v>
      </c>
      <c r="L15" s="221" t="s">
        <v>532</v>
      </c>
      <c r="M15" s="298"/>
      <c r="N15" s="292"/>
      <c r="O15" s="220" t="s">
        <v>283</v>
      </c>
      <c r="P15" s="298"/>
      <c r="Q15" s="290" t="s">
        <v>495</v>
      </c>
      <c r="R15" s="220" t="s">
        <v>551</v>
      </c>
      <c r="S15" s="298"/>
      <c r="T15" s="290" t="s">
        <v>495</v>
      </c>
      <c r="U15" s="220" t="s">
        <v>562</v>
      </c>
      <c r="V15" s="298" t="s">
        <v>495</v>
      </c>
      <c r="W15" s="292"/>
      <c r="X15" s="236" t="s">
        <v>147</v>
      </c>
      <c r="Y15" s="298"/>
      <c r="Z15" s="292"/>
      <c r="AA15" s="195"/>
      <c r="AB15" s="298"/>
      <c r="AC15" s="292"/>
      <c r="AD15" s="220" t="s">
        <v>284</v>
      </c>
      <c r="AE15" s="298"/>
      <c r="AF15" s="290" t="s">
        <v>495</v>
      </c>
      <c r="AG15" s="220" t="s">
        <v>581</v>
      </c>
      <c r="AH15" s="298"/>
      <c r="AI15" s="292"/>
      <c r="AJ15" s="180" t="s">
        <v>110</v>
      </c>
      <c r="AK15" s="298"/>
      <c r="AL15" s="305"/>
      <c r="AM15" s="264"/>
      <c r="AN15" s="131"/>
      <c r="AO15" s="131"/>
      <c r="AP15" s="130"/>
      <c r="AQ15" s="131"/>
      <c r="AR15" s="131"/>
      <c r="AS15" s="130"/>
      <c r="AT15" s="131"/>
      <c r="AU15" s="131"/>
      <c r="AV15" s="130"/>
      <c r="AW15" s="130"/>
      <c r="AX15" s="130"/>
      <c r="AY15" s="130"/>
    </row>
    <row r="16" spans="1:51" ht="13" x14ac:dyDescent="0.15">
      <c r="A16" s="273"/>
      <c r="B16" s="290" t="s">
        <v>495</v>
      </c>
      <c r="C16" s="220" t="s">
        <v>498</v>
      </c>
      <c r="D16" s="298" t="s">
        <v>494</v>
      </c>
      <c r="E16" s="290" t="s">
        <v>495</v>
      </c>
      <c r="F16" s="237" t="s">
        <v>272</v>
      </c>
      <c r="G16" s="298" t="s">
        <v>494</v>
      </c>
      <c r="H16" s="290" t="s">
        <v>495</v>
      </c>
      <c r="I16" s="220" t="s">
        <v>516</v>
      </c>
      <c r="J16" s="298" t="s">
        <v>494</v>
      </c>
      <c r="K16" s="290" t="s">
        <v>495</v>
      </c>
      <c r="L16" s="221" t="s">
        <v>533</v>
      </c>
      <c r="M16" s="298"/>
      <c r="N16" s="292"/>
      <c r="O16" s="221" t="s">
        <v>128</v>
      </c>
      <c r="P16" s="298"/>
      <c r="Q16" s="290" t="s">
        <v>495</v>
      </c>
      <c r="R16" s="220" t="s">
        <v>552</v>
      </c>
      <c r="S16" s="298"/>
      <c r="T16" s="290" t="s">
        <v>495</v>
      </c>
      <c r="U16" s="221" t="s">
        <v>563</v>
      </c>
      <c r="V16" s="298" t="s">
        <v>495</v>
      </c>
      <c r="W16" s="292"/>
      <c r="X16" s="221" t="s">
        <v>121</v>
      </c>
      <c r="Y16" s="298"/>
      <c r="Z16" s="292"/>
      <c r="AA16" s="195"/>
      <c r="AB16" s="298"/>
      <c r="AC16" s="292"/>
      <c r="AD16" s="220" t="s">
        <v>275</v>
      </c>
      <c r="AE16" s="298"/>
      <c r="AF16" s="290" t="s">
        <v>495</v>
      </c>
      <c r="AG16" s="220" t="s">
        <v>582</v>
      </c>
      <c r="AH16" s="298"/>
      <c r="AI16" s="292"/>
      <c r="AJ16" s="221" t="s">
        <v>147</v>
      </c>
      <c r="AK16" s="298"/>
      <c r="AL16" s="304"/>
      <c r="AM16" s="263"/>
      <c r="AN16" s="131"/>
      <c r="AO16" s="131"/>
      <c r="AP16" s="130"/>
      <c r="AQ16" s="131"/>
      <c r="AR16" s="131"/>
      <c r="AS16" s="130"/>
      <c r="AT16" s="131"/>
      <c r="AU16" s="131"/>
      <c r="AV16" s="130"/>
      <c r="AW16" s="130"/>
      <c r="AX16" s="130"/>
      <c r="AY16" s="130"/>
    </row>
    <row r="17" spans="1:51" ht="13" x14ac:dyDescent="0.15">
      <c r="A17" s="273"/>
      <c r="B17" s="290" t="s">
        <v>495</v>
      </c>
      <c r="C17" s="220" t="s">
        <v>499</v>
      </c>
      <c r="D17" s="298" t="s">
        <v>494</v>
      </c>
      <c r="E17" s="290" t="s">
        <v>495</v>
      </c>
      <c r="F17" s="220" t="s">
        <v>507</v>
      </c>
      <c r="G17" s="298" t="s">
        <v>494</v>
      </c>
      <c r="H17" s="290" t="s">
        <v>495</v>
      </c>
      <c r="I17" s="221" t="s">
        <v>517</v>
      </c>
      <c r="J17" s="298" t="s">
        <v>494</v>
      </c>
      <c r="K17" s="290" t="s">
        <v>495</v>
      </c>
      <c r="L17" s="221" t="s">
        <v>534</v>
      </c>
      <c r="M17" s="298"/>
      <c r="N17" s="292"/>
      <c r="O17" s="221" t="s">
        <v>99</v>
      </c>
      <c r="P17" s="298"/>
      <c r="Q17" s="290" t="s">
        <v>495</v>
      </c>
      <c r="R17" s="239" t="s">
        <v>553</v>
      </c>
      <c r="S17" s="298"/>
      <c r="T17" s="290" t="s">
        <v>495</v>
      </c>
      <c r="U17" s="221" t="s">
        <v>564</v>
      </c>
      <c r="V17" s="298" t="s">
        <v>495</v>
      </c>
      <c r="W17" s="292"/>
      <c r="X17" s="221" t="s">
        <v>118</v>
      </c>
      <c r="Y17" s="298"/>
      <c r="Z17" s="292"/>
      <c r="AA17" s="195"/>
      <c r="AB17" s="298"/>
      <c r="AC17" s="292"/>
      <c r="AD17" s="221" t="s">
        <v>109</v>
      </c>
      <c r="AE17" s="298"/>
      <c r="AF17" s="290" t="s">
        <v>495</v>
      </c>
      <c r="AG17" s="220" t="s">
        <v>583</v>
      </c>
      <c r="AH17" s="298"/>
      <c r="AI17" s="292"/>
      <c r="AJ17" s="180" t="s">
        <v>154</v>
      </c>
      <c r="AK17" s="298"/>
      <c r="AL17" s="305"/>
      <c r="AM17" s="264"/>
      <c r="AN17" s="131"/>
      <c r="AO17" s="131"/>
      <c r="AP17" s="130"/>
      <c r="AQ17" s="131"/>
      <c r="AR17" s="131"/>
      <c r="AS17" s="130"/>
      <c r="AT17" s="131"/>
      <c r="AU17" s="131"/>
      <c r="AV17" s="130"/>
      <c r="AW17" s="130"/>
      <c r="AX17" s="130"/>
      <c r="AY17" s="130"/>
    </row>
    <row r="18" spans="1:51" ht="13" x14ac:dyDescent="0.15">
      <c r="A18" s="273"/>
      <c r="B18" s="291" t="s">
        <v>494</v>
      </c>
      <c r="C18" s="220" t="s">
        <v>500</v>
      </c>
      <c r="D18" s="298" t="s">
        <v>494</v>
      </c>
      <c r="E18" s="290" t="s">
        <v>495</v>
      </c>
      <c r="F18" s="220" t="s">
        <v>508</v>
      </c>
      <c r="G18" s="298" t="s">
        <v>494</v>
      </c>
      <c r="H18" s="290" t="s">
        <v>495</v>
      </c>
      <c r="I18" s="220" t="s">
        <v>518</v>
      </c>
      <c r="J18" s="298" t="s">
        <v>494</v>
      </c>
      <c r="K18" s="290" t="s">
        <v>495</v>
      </c>
      <c r="L18" s="221" t="s">
        <v>535</v>
      </c>
      <c r="M18" s="298"/>
      <c r="N18" s="292"/>
      <c r="O18" s="220" t="s">
        <v>255</v>
      </c>
      <c r="P18" s="298"/>
      <c r="Q18" s="290" t="s">
        <v>495</v>
      </c>
      <c r="R18" s="236" t="s">
        <v>548</v>
      </c>
      <c r="S18" s="298"/>
      <c r="T18" s="290" t="s">
        <v>495</v>
      </c>
      <c r="U18" s="221" t="s">
        <v>565</v>
      </c>
      <c r="V18" s="298" t="s">
        <v>495</v>
      </c>
      <c r="W18" s="292"/>
      <c r="X18" s="236" t="s">
        <v>92</v>
      </c>
      <c r="Y18" s="298"/>
      <c r="Z18" s="292"/>
      <c r="AA18" s="195"/>
      <c r="AB18" s="298"/>
      <c r="AC18" s="292"/>
      <c r="AD18" s="221" t="s">
        <v>127</v>
      </c>
      <c r="AE18" s="298"/>
      <c r="AF18" s="290" t="s">
        <v>495</v>
      </c>
      <c r="AG18" s="220" t="s">
        <v>584</v>
      </c>
      <c r="AH18" s="298"/>
      <c r="AI18" s="292"/>
      <c r="AJ18" s="221" t="s">
        <v>121</v>
      </c>
      <c r="AK18" s="298"/>
      <c r="AL18" s="305"/>
      <c r="AM18" s="264"/>
      <c r="AN18" s="131"/>
      <c r="AO18" s="131"/>
      <c r="AP18" s="130"/>
      <c r="AQ18" s="131"/>
      <c r="AR18" s="131"/>
      <c r="AS18" s="130"/>
      <c r="AT18" s="131"/>
      <c r="AU18" s="131"/>
      <c r="AV18" s="130"/>
      <c r="AW18" s="130"/>
      <c r="AX18" s="130"/>
      <c r="AY18" s="130"/>
    </row>
    <row r="19" spans="1:51" ht="13" x14ac:dyDescent="0.15">
      <c r="A19" s="273"/>
      <c r="B19" s="291" t="s">
        <v>494</v>
      </c>
      <c r="C19" s="220" t="s">
        <v>501</v>
      </c>
      <c r="D19" s="298" t="s">
        <v>494</v>
      </c>
      <c r="E19" s="290" t="s">
        <v>495</v>
      </c>
      <c r="F19" s="220" t="s">
        <v>509</v>
      </c>
      <c r="G19" s="298" t="s">
        <v>494</v>
      </c>
      <c r="H19" s="290" t="s">
        <v>495</v>
      </c>
      <c r="I19" s="220" t="s">
        <v>519</v>
      </c>
      <c r="J19" s="298" t="s">
        <v>494</v>
      </c>
      <c r="K19" s="290" t="s">
        <v>495</v>
      </c>
      <c r="L19" s="220" t="s">
        <v>536</v>
      </c>
      <c r="M19" s="298"/>
      <c r="N19" s="292"/>
      <c r="O19" s="220" t="s">
        <v>245</v>
      </c>
      <c r="P19" s="298"/>
      <c r="Q19" s="290" t="s">
        <v>495</v>
      </c>
      <c r="R19" s="221" t="s">
        <v>554</v>
      </c>
      <c r="S19" s="298"/>
      <c r="T19" s="290" t="s">
        <v>495</v>
      </c>
      <c r="U19" s="221" t="s">
        <v>566</v>
      </c>
      <c r="V19" s="298" t="s">
        <v>495</v>
      </c>
      <c r="W19" s="292"/>
      <c r="X19" s="221" t="s">
        <v>116</v>
      </c>
      <c r="Y19" s="298"/>
      <c r="Z19" s="292"/>
      <c r="AA19" s="195"/>
      <c r="AB19" s="298"/>
      <c r="AC19" s="292"/>
      <c r="AD19" s="221" t="s">
        <v>122</v>
      </c>
      <c r="AE19" s="298"/>
      <c r="AF19" s="290" t="s">
        <v>495</v>
      </c>
      <c r="AG19" s="220" t="s">
        <v>585</v>
      </c>
      <c r="AH19" s="298"/>
      <c r="AI19" s="292"/>
      <c r="AJ19" s="180" t="s">
        <v>139</v>
      </c>
      <c r="AK19" s="298"/>
      <c r="AL19" s="305"/>
      <c r="AM19" s="264"/>
      <c r="AN19" s="131"/>
      <c r="AO19" s="131"/>
      <c r="AP19" s="130"/>
      <c r="AQ19" s="131"/>
      <c r="AR19" s="131"/>
      <c r="AS19" s="130"/>
      <c r="AT19" s="131"/>
      <c r="AU19" s="131"/>
      <c r="AV19" s="130"/>
      <c r="AW19" s="130"/>
      <c r="AX19" s="130"/>
      <c r="AY19" s="130"/>
    </row>
    <row r="20" spans="1:51" ht="13" x14ac:dyDescent="0.15">
      <c r="A20" s="273"/>
      <c r="B20" s="291" t="s">
        <v>494</v>
      </c>
      <c r="C20" s="220" t="s">
        <v>502</v>
      </c>
      <c r="D20" s="298" t="s">
        <v>494</v>
      </c>
      <c r="E20" s="291" t="s">
        <v>494</v>
      </c>
      <c r="F20" s="220" t="s">
        <v>510</v>
      </c>
      <c r="G20" s="298" t="s">
        <v>494</v>
      </c>
      <c r="H20" s="290" t="s">
        <v>495</v>
      </c>
      <c r="I20" s="220" t="s">
        <v>520</v>
      </c>
      <c r="J20" s="298" t="s">
        <v>494</v>
      </c>
      <c r="K20" s="290" t="s">
        <v>495</v>
      </c>
      <c r="L20" s="221" t="s">
        <v>537</v>
      </c>
      <c r="M20" s="298"/>
      <c r="N20" s="292"/>
      <c r="O20" s="221" t="s">
        <v>235</v>
      </c>
      <c r="P20" s="298"/>
      <c r="Q20" s="290" t="s">
        <v>495</v>
      </c>
      <c r="R20" s="220" t="s">
        <v>555</v>
      </c>
      <c r="S20" s="298"/>
      <c r="T20" s="290" t="s">
        <v>495</v>
      </c>
      <c r="U20" s="221" t="s">
        <v>567</v>
      </c>
      <c r="V20" s="298" t="s">
        <v>495</v>
      </c>
      <c r="W20" s="292"/>
      <c r="X20" s="220"/>
      <c r="Y20" s="298"/>
      <c r="Z20" s="292"/>
      <c r="AA20" s="195"/>
      <c r="AB20" s="298"/>
      <c r="AC20" s="292"/>
      <c r="AD20" s="180" t="s">
        <v>138</v>
      </c>
      <c r="AE20" s="298"/>
      <c r="AF20" s="290" t="s">
        <v>495</v>
      </c>
      <c r="AG20" s="221" t="s">
        <v>586</v>
      </c>
      <c r="AH20" s="298"/>
      <c r="AI20" s="292"/>
      <c r="AJ20" s="221" t="s">
        <v>118</v>
      </c>
      <c r="AK20" s="298"/>
      <c r="AL20" s="304"/>
      <c r="AM20" s="263"/>
      <c r="AN20" s="131"/>
      <c r="AO20" s="131"/>
      <c r="AP20" s="130"/>
      <c r="AQ20" s="131"/>
      <c r="AR20" s="131"/>
      <c r="AS20" s="130"/>
      <c r="AT20" s="131"/>
      <c r="AU20" s="131"/>
      <c r="AV20" s="130"/>
      <c r="AW20" s="130"/>
      <c r="AX20" s="130"/>
      <c r="AY20" s="130"/>
    </row>
    <row r="21" spans="1:51" ht="13" x14ac:dyDescent="0.15">
      <c r="A21" s="273"/>
      <c r="B21" s="291" t="s">
        <v>494</v>
      </c>
      <c r="C21" s="220" t="s">
        <v>503</v>
      </c>
      <c r="D21" s="298" t="s">
        <v>494</v>
      </c>
      <c r="E21" s="291" t="s">
        <v>494</v>
      </c>
      <c r="F21" s="220" t="s">
        <v>511</v>
      </c>
      <c r="G21" s="298" t="s">
        <v>494</v>
      </c>
      <c r="H21" s="290" t="s">
        <v>495</v>
      </c>
      <c r="I21" s="221" t="s">
        <v>521</v>
      </c>
      <c r="J21" s="298" t="s">
        <v>494</v>
      </c>
      <c r="K21" s="290" t="s">
        <v>495</v>
      </c>
      <c r="L21" s="221" t="s">
        <v>538</v>
      </c>
      <c r="M21" s="298"/>
      <c r="N21" s="292"/>
      <c r="O21" s="220" t="s">
        <v>226</v>
      </c>
      <c r="P21" s="298"/>
      <c r="Q21" s="291" t="s">
        <v>494</v>
      </c>
      <c r="R21" s="220" t="s">
        <v>556</v>
      </c>
      <c r="S21" s="298"/>
      <c r="T21" s="291" t="s">
        <v>494</v>
      </c>
      <c r="U21" s="220" t="s">
        <v>568</v>
      </c>
      <c r="V21" s="298" t="s">
        <v>495</v>
      </c>
      <c r="W21" s="292"/>
      <c r="X21" s="235" t="s">
        <v>175</v>
      </c>
      <c r="Y21" s="298"/>
      <c r="Z21" s="292"/>
      <c r="AA21" s="195"/>
      <c r="AB21" s="298"/>
      <c r="AC21" s="292"/>
      <c r="AD21" s="221" t="s">
        <v>106</v>
      </c>
      <c r="AE21" s="298"/>
      <c r="AF21" s="291" t="s">
        <v>494</v>
      </c>
      <c r="AG21" s="220" t="s">
        <v>587</v>
      </c>
      <c r="AH21" s="298"/>
      <c r="AI21" s="292"/>
      <c r="AJ21" s="221" t="s">
        <v>104</v>
      </c>
      <c r="AK21" s="298"/>
      <c r="AL21" s="305"/>
      <c r="AM21" s="264"/>
      <c r="AN21" s="131"/>
      <c r="AO21" s="131"/>
      <c r="AP21" s="130"/>
      <c r="AQ21" s="131"/>
      <c r="AR21" s="131"/>
      <c r="AS21" s="130"/>
      <c r="AT21" s="131"/>
      <c r="AU21" s="131"/>
      <c r="AV21" s="130"/>
      <c r="AW21" s="130"/>
      <c r="AX21" s="130"/>
      <c r="AY21" s="130"/>
    </row>
    <row r="22" spans="1:51" ht="13" x14ac:dyDescent="0.15">
      <c r="A22" s="273"/>
      <c r="B22" s="291" t="s">
        <v>494</v>
      </c>
      <c r="C22" s="220" t="s">
        <v>504</v>
      </c>
      <c r="D22" s="298" t="s">
        <v>494</v>
      </c>
      <c r="E22" s="291" t="s">
        <v>494</v>
      </c>
      <c r="F22" s="220" t="s">
        <v>512</v>
      </c>
      <c r="G22" s="298" t="s">
        <v>494</v>
      </c>
      <c r="H22" s="291" t="s">
        <v>494</v>
      </c>
      <c r="I22" s="221" t="s">
        <v>522</v>
      </c>
      <c r="J22" s="298" t="s">
        <v>494</v>
      </c>
      <c r="K22" s="290" t="s">
        <v>495</v>
      </c>
      <c r="L22" s="221" t="s">
        <v>539</v>
      </c>
      <c r="M22" s="298"/>
      <c r="N22" s="292"/>
      <c r="O22" s="220" t="s">
        <v>218</v>
      </c>
      <c r="P22" s="298"/>
      <c r="Q22" s="291" t="s">
        <v>494</v>
      </c>
      <c r="R22" s="236" t="s">
        <v>531</v>
      </c>
      <c r="S22" s="298"/>
      <c r="T22" s="291" t="s">
        <v>494</v>
      </c>
      <c r="U22" s="221" t="s">
        <v>569</v>
      </c>
      <c r="V22" s="298" t="s">
        <v>495</v>
      </c>
      <c r="W22" s="292"/>
      <c r="X22" s="220"/>
      <c r="Y22" s="298"/>
      <c r="Z22" s="292"/>
      <c r="AA22" s="195"/>
      <c r="AB22" s="298"/>
      <c r="AC22" s="292"/>
      <c r="AD22" s="250" t="s">
        <v>154</v>
      </c>
      <c r="AE22" s="298"/>
      <c r="AF22" s="291" t="s">
        <v>494</v>
      </c>
      <c r="AG22" s="220" t="s">
        <v>588</v>
      </c>
      <c r="AH22" s="298"/>
      <c r="AI22" s="292"/>
      <c r="AJ22" s="221" t="s">
        <v>133</v>
      </c>
      <c r="AK22" s="298"/>
      <c r="AL22" s="305"/>
      <c r="AM22" s="264"/>
      <c r="AN22" s="131"/>
      <c r="AO22" s="131"/>
      <c r="AP22" s="130"/>
      <c r="AQ22" s="131"/>
      <c r="AR22" s="131"/>
      <c r="AS22" s="130"/>
      <c r="AT22" s="131"/>
      <c r="AU22" s="131"/>
      <c r="AV22" s="130"/>
      <c r="AW22" s="130"/>
      <c r="AX22" s="130"/>
      <c r="AY22" s="130"/>
    </row>
    <row r="23" spans="1:51" ht="13" x14ac:dyDescent="0.15">
      <c r="A23" s="273"/>
      <c r="B23" s="292"/>
      <c r="C23" s="184"/>
      <c r="D23" s="298"/>
      <c r="E23" s="291" t="s">
        <v>494</v>
      </c>
      <c r="F23" s="220" t="s">
        <v>513</v>
      </c>
      <c r="G23" s="298" t="s">
        <v>494</v>
      </c>
      <c r="H23" s="291" t="s">
        <v>494</v>
      </c>
      <c r="I23" s="220" t="s">
        <v>523</v>
      </c>
      <c r="J23" s="298" t="s">
        <v>494</v>
      </c>
      <c r="K23" s="291" t="s">
        <v>494</v>
      </c>
      <c r="L23" s="221" t="s">
        <v>540</v>
      </c>
      <c r="M23" s="298"/>
      <c r="N23" s="292"/>
      <c r="O23" s="220" t="s">
        <v>211</v>
      </c>
      <c r="P23" s="298"/>
      <c r="Q23" s="291" t="s">
        <v>494</v>
      </c>
      <c r="R23" s="220" t="s">
        <v>557</v>
      </c>
      <c r="S23" s="298"/>
      <c r="T23" s="291" t="s">
        <v>494</v>
      </c>
      <c r="U23" s="180" t="s">
        <v>570</v>
      </c>
      <c r="V23" s="298" t="s">
        <v>495</v>
      </c>
      <c r="W23" s="292"/>
      <c r="X23" s="188"/>
      <c r="Y23" s="298"/>
      <c r="Z23" s="292"/>
      <c r="AA23" s="195"/>
      <c r="AB23" s="298"/>
      <c r="AC23" s="292"/>
      <c r="AD23" s="221" t="s">
        <v>102</v>
      </c>
      <c r="AE23" s="298"/>
      <c r="AF23" s="291" t="s">
        <v>494</v>
      </c>
      <c r="AG23" s="220" t="s">
        <v>589</v>
      </c>
      <c r="AH23" s="298"/>
      <c r="AI23" s="292"/>
      <c r="AJ23" s="221" t="s">
        <v>92</v>
      </c>
      <c r="AK23" s="298"/>
      <c r="AL23" s="305"/>
      <c r="AM23" s="264"/>
      <c r="AN23" s="131"/>
      <c r="AO23" s="131"/>
      <c r="AP23" s="130"/>
      <c r="AQ23" s="131"/>
      <c r="AR23" s="131"/>
      <c r="AS23" s="130"/>
      <c r="AT23" s="131"/>
      <c r="AU23" s="131"/>
      <c r="AV23" s="130"/>
      <c r="AW23" s="130"/>
      <c r="AX23" s="130"/>
      <c r="AY23" s="130"/>
    </row>
    <row r="24" spans="1:51" ht="13" x14ac:dyDescent="0.15">
      <c r="A24" s="273"/>
      <c r="B24" s="292"/>
      <c r="C24" s="184"/>
      <c r="D24" s="298"/>
      <c r="E24" s="292"/>
      <c r="F24" s="178"/>
      <c r="G24" s="298"/>
      <c r="H24" s="291" t="s">
        <v>494</v>
      </c>
      <c r="I24" s="220" t="s">
        <v>524</v>
      </c>
      <c r="J24" s="298" t="s">
        <v>494</v>
      </c>
      <c r="K24" s="291" t="s">
        <v>494</v>
      </c>
      <c r="L24" s="236" t="s">
        <v>541</v>
      </c>
      <c r="M24" s="298"/>
      <c r="N24" s="292"/>
      <c r="O24" s="220" t="s">
        <v>205</v>
      </c>
      <c r="P24" s="298"/>
      <c r="Q24" s="291" t="s">
        <v>494</v>
      </c>
      <c r="R24" s="221" t="s">
        <v>558</v>
      </c>
      <c r="S24" s="298"/>
      <c r="T24" s="291" t="s">
        <v>494</v>
      </c>
      <c r="U24" s="220" t="s">
        <v>571</v>
      </c>
      <c r="V24" s="298" t="s">
        <v>495</v>
      </c>
      <c r="W24" s="292"/>
      <c r="X24" s="188"/>
      <c r="Y24" s="298"/>
      <c r="Z24" s="292"/>
      <c r="AA24" s="201"/>
      <c r="AB24" s="298"/>
      <c r="AC24" s="292"/>
      <c r="AD24" s="220" t="s">
        <v>207</v>
      </c>
      <c r="AE24" s="298"/>
      <c r="AF24" s="291" t="s">
        <v>494</v>
      </c>
      <c r="AG24" s="220" t="s">
        <v>590</v>
      </c>
      <c r="AH24" s="298"/>
      <c r="AI24" s="292"/>
      <c r="AJ24" s="221" t="s">
        <v>116</v>
      </c>
      <c r="AK24" s="298"/>
      <c r="AL24" s="305"/>
      <c r="AM24" s="264"/>
      <c r="AN24" s="131"/>
      <c r="AO24" s="131"/>
      <c r="AP24" s="130"/>
      <c r="AQ24" s="131"/>
      <c r="AR24" s="131"/>
      <c r="AS24" s="130"/>
      <c r="AT24" s="131"/>
      <c r="AU24" s="131"/>
      <c r="AV24" s="130"/>
      <c r="AW24" s="130"/>
      <c r="AY24" s="130"/>
    </row>
    <row r="25" spans="1:51" ht="13" x14ac:dyDescent="0.15">
      <c r="A25" s="273"/>
      <c r="B25" s="292"/>
      <c r="C25" s="145"/>
      <c r="D25" s="298"/>
      <c r="E25" s="292"/>
      <c r="F25" s="181"/>
      <c r="G25" s="298"/>
      <c r="H25" s="291" t="s">
        <v>494</v>
      </c>
      <c r="I25" s="220" t="s">
        <v>525</v>
      </c>
      <c r="J25" s="298" t="s">
        <v>494</v>
      </c>
      <c r="K25" s="291" t="s">
        <v>494</v>
      </c>
      <c r="L25" s="220" t="s">
        <v>542</v>
      </c>
      <c r="M25" s="298"/>
      <c r="N25" s="292"/>
      <c r="O25" s="220" t="s">
        <v>198</v>
      </c>
      <c r="P25" s="298"/>
      <c r="Q25" s="291" t="s">
        <v>494</v>
      </c>
      <c r="R25" s="220" t="s">
        <v>559</v>
      </c>
      <c r="S25" s="298"/>
      <c r="T25" s="291" t="s">
        <v>494</v>
      </c>
      <c r="U25" s="220" t="s">
        <v>572</v>
      </c>
      <c r="V25" s="298" t="s">
        <v>495</v>
      </c>
      <c r="W25" s="292"/>
      <c r="X25" s="188"/>
      <c r="Y25" s="298"/>
      <c r="Z25" s="292"/>
      <c r="AA25" s="195"/>
      <c r="AB25" s="298"/>
      <c r="AC25" s="292"/>
      <c r="AD25" s="220" t="s">
        <v>199</v>
      </c>
      <c r="AE25" s="298"/>
      <c r="AF25" s="291" t="s">
        <v>494</v>
      </c>
      <c r="AG25" s="220" t="s">
        <v>591</v>
      </c>
      <c r="AH25" s="298"/>
      <c r="AI25" s="292"/>
      <c r="AJ25" s="220"/>
      <c r="AK25" s="298"/>
      <c r="AL25" s="304"/>
      <c r="AM25" s="263"/>
      <c r="AW25" s="132"/>
    </row>
    <row r="26" spans="1:51" ht="13" x14ac:dyDescent="0.15">
      <c r="A26" s="273"/>
      <c r="B26" s="292"/>
      <c r="C26" s="145"/>
      <c r="D26" s="298"/>
      <c r="E26" s="292"/>
      <c r="F26" s="182"/>
      <c r="G26" s="298"/>
      <c r="H26" s="291" t="s">
        <v>494</v>
      </c>
      <c r="I26" s="221" t="s">
        <v>526</v>
      </c>
      <c r="J26" s="298" t="s">
        <v>494</v>
      </c>
      <c r="K26" s="291" t="s">
        <v>494</v>
      </c>
      <c r="L26" s="221" t="s">
        <v>543</v>
      </c>
      <c r="M26" s="298"/>
      <c r="N26" s="292"/>
      <c r="O26" s="220" t="s">
        <v>193</v>
      </c>
      <c r="P26" s="298"/>
      <c r="Q26" s="291" t="s">
        <v>494</v>
      </c>
      <c r="R26" s="237" t="s">
        <v>229</v>
      </c>
      <c r="S26" s="298"/>
      <c r="T26" s="292"/>
      <c r="U26" s="220"/>
      <c r="V26" s="298"/>
      <c r="W26" s="292"/>
      <c r="X26" s="188"/>
      <c r="Y26" s="298"/>
      <c r="Z26" s="292"/>
      <c r="AA26" s="195"/>
      <c r="AB26" s="298"/>
      <c r="AC26" s="292"/>
      <c r="AD26" s="221" t="s">
        <v>119</v>
      </c>
      <c r="AE26" s="298"/>
      <c r="AF26" s="291" t="s">
        <v>494</v>
      </c>
      <c r="AG26" s="220" t="s">
        <v>592</v>
      </c>
      <c r="AH26" s="298"/>
      <c r="AI26" s="292"/>
      <c r="AJ26" s="235" t="s">
        <v>175</v>
      </c>
      <c r="AK26" s="298"/>
      <c r="AL26" s="305"/>
      <c r="AM26" s="264"/>
      <c r="AN26" s="131"/>
      <c r="AO26" s="131"/>
      <c r="AP26" s="130"/>
      <c r="AQ26" s="131"/>
      <c r="AR26" s="131"/>
      <c r="AS26" s="130"/>
      <c r="AT26" s="131"/>
      <c r="AU26" s="131"/>
      <c r="AV26" s="130"/>
      <c r="AW26" s="130"/>
      <c r="AX26" s="130"/>
      <c r="AY26" s="130"/>
    </row>
    <row r="27" spans="1:51" ht="13" x14ac:dyDescent="0.15">
      <c r="A27" s="273"/>
      <c r="B27" s="292"/>
      <c r="C27" s="184"/>
      <c r="D27" s="298"/>
      <c r="E27" s="292"/>
      <c r="F27" s="183"/>
      <c r="G27" s="298"/>
      <c r="H27" s="291" t="s">
        <v>494</v>
      </c>
      <c r="I27" s="220" t="s">
        <v>527</v>
      </c>
      <c r="J27" s="298" t="s">
        <v>494</v>
      </c>
      <c r="K27" s="291" t="s">
        <v>494</v>
      </c>
      <c r="L27" s="221" t="s">
        <v>544</v>
      </c>
      <c r="M27" s="298"/>
      <c r="N27" s="292"/>
      <c r="O27" s="221" t="s">
        <v>104</v>
      </c>
      <c r="P27" s="298"/>
      <c r="Q27" s="291" t="s">
        <v>494</v>
      </c>
      <c r="R27" s="221" t="s">
        <v>560</v>
      </c>
      <c r="S27" s="298"/>
      <c r="T27" s="292"/>
      <c r="U27" s="220"/>
      <c r="V27" s="298"/>
      <c r="W27" s="292"/>
      <c r="X27" s="186"/>
      <c r="Y27" s="298"/>
      <c r="Z27" s="292"/>
      <c r="AA27" s="201"/>
      <c r="AB27" s="298"/>
      <c r="AC27" s="292"/>
      <c r="AD27" s="221" t="s">
        <v>95</v>
      </c>
      <c r="AE27" s="298"/>
      <c r="AF27" s="291" t="s">
        <v>494</v>
      </c>
      <c r="AG27" s="220" t="s">
        <v>593</v>
      </c>
      <c r="AH27" s="298"/>
      <c r="AI27" s="292"/>
      <c r="AJ27" s="220"/>
      <c r="AK27" s="298"/>
      <c r="AL27" s="305"/>
      <c r="AM27" s="264"/>
      <c r="AN27" s="131"/>
      <c r="AO27" s="131"/>
      <c r="AP27" s="130"/>
      <c r="AQ27" s="131"/>
      <c r="AR27" s="131"/>
      <c r="AS27" s="130"/>
      <c r="AT27" s="131"/>
      <c r="AU27" s="131"/>
      <c r="AV27" s="130"/>
      <c r="AW27" s="130"/>
      <c r="AY27" s="130"/>
    </row>
    <row r="28" spans="1:51" ht="13" x14ac:dyDescent="0.15">
      <c r="A28" s="273"/>
      <c r="B28" s="292"/>
      <c r="C28" s="184"/>
      <c r="D28" s="298"/>
      <c r="E28" s="292"/>
      <c r="F28" s="184"/>
      <c r="G28" s="298"/>
      <c r="H28" s="291" t="s">
        <v>494</v>
      </c>
      <c r="I28" s="220" t="s">
        <v>528</v>
      </c>
      <c r="J28" s="298" t="s">
        <v>494</v>
      </c>
      <c r="K28" s="291" t="s">
        <v>494</v>
      </c>
      <c r="L28" s="221" t="s">
        <v>545</v>
      </c>
      <c r="M28" s="298"/>
      <c r="N28" s="292"/>
      <c r="O28" s="220" t="s">
        <v>184</v>
      </c>
      <c r="P28" s="298"/>
      <c r="Q28" s="292"/>
      <c r="R28" s="220"/>
      <c r="S28" s="298"/>
      <c r="T28" s="292"/>
      <c r="U28" s="220"/>
      <c r="V28" s="298"/>
      <c r="W28" s="292"/>
      <c r="X28" s="186"/>
      <c r="Y28" s="298"/>
      <c r="Z28" s="292"/>
      <c r="AA28" s="195"/>
      <c r="AB28" s="298"/>
      <c r="AC28" s="292"/>
      <c r="AD28" s="221" t="s">
        <v>126</v>
      </c>
      <c r="AE28" s="298"/>
      <c r="AF28" s="291" t="s">
        <v>494</v>
      </c>
      <c r="AG28" s="220" t="s">
        <v>594</v>
      </c>
      <c r="AH28" s="298"/>
      <c r="AI28" s="292"/>
      <c r="AJ28" s="220"/>
      <c r="AK28" s="298"/>
      <c r="AL28" s="305"/>
      <c r="AM28" s="264"/>
      <c r="AN28" s="131"/>
      <c r="AO28" s="131"/>
      <c r="AP28" s="130"/>
      <c r="AQ28" s="131"/>
      <c r="AR28" s="131"/>
      <c r="AS28" s="130"/>
      <c r="AT28" s="131"/>
      <c r="AU28" s="131"/>
      <c r="AV28" s="130"/>
      <c r="AW28" s="130"/>
      <c r="AY28" s="130"/>
    </row>
    <row r="29" spans="1:51" ht="13" x14ac:dyDescent="0.15">
      <c r="A29" s="273"/>
      <c r="B29" s="292"/>
      <c r="C29" s="145"/>
      <c r="D29" s="298"/>
      <c r="E29" s="292"/>
      <c r="F29" s="184"/>
      <c r="G29" s="298"/>
      <c r="H29" s="291" t="s">
        <v>494</v>
      </c>
      <c r="I29" s="220" t="s">
        <v>529</v>
      </c>
      <c r="J29" s="298" t="s">
        <v>494</v>
      </c>
      <c r="K29" s="291" t="s">
        <v>494</v>
      </c>
      <c r="L29" s="221" t="s">
        <v>546</v>
      </c>
      <c r="M29" s="298"/>
      <c r="N29" s="292"/>
      <c r="O29" s="220" t="s">
        <v>179</v>
      </c>
      <c r="P29" s="298"/>
      <c r="Q29" s="292"/>
      <c r="R29" s="220"/>
      <c r="S29" s="298"/>
      <c r="T29" s="292"/>
      <c r="U29" s="220"/>
      <c r="V29" s="298"/>
      <c r="W29" s="292"/>
      <c r="X29" s="178"/>
      <c r="Y29" s="298"/>
      <c r="Z29" s="292"/>
      <c r="AA29" s="195"/>
      <c r="AB29" s="298"/>
      <c r="AC29" s="292"/>
      <c r="AD29" s="180" t="s">
        <v>139</v>
      </c>
      <c r="AE29" s="298"/>
      <c r="AF29" s="291" t="s">
        <v>494</v>
      </c>
      <c r="AG29" s="221" t="s">
        <v>595</v>
      </c>
      <c r="AH29" s="298"/>
      <c r="AI29" s="292"/>
      <c r="AJ29" s="221"/>
      <c r="AK29" s="298"/>
      <c r="AL29" s="305"/>
      <c r="AM29" s="264"/>
      <c r="AN29" s="131"/>
      <c r="AO29" s="131"/>
      <c r="AP29" s="130"/>
      <c r="AQ29" s="131"/>
      <c r="AR29" s="131"/>
      <c r="AS29" s="130"/>
      <c r="AT29" s="131"/>
      <c r="AU29" s="131"/>
      <c r="AV29" s="130"/>
      <c r="AW29" s="130"/>
      <c r="AX29" s="130"/>
      <c r="AY29" s="130"/>
    </row>
    <row r="30" spans="1:51" ht="13" x14ac:dyDescent="0.15">
      <c r="A30" s="273"/>
      <c r="B30" s="292"/>
      <c r="C30" s="145"/>
      <c r="D30" s="298"/>
      <c r="E30" s="292"/>
      <c r="F30" s="184"/>
      <c r="G30" s="298"/>
      <c r="H30" s="292"/>
      <c r="I30" s="220"/>
      <c r="J30" s="298"/>
      <c r="K30" s="291" t="s">
        <v>494</v>
      </c>
      <c r="L30" s="221" t="s">
        <v>547</v>
      </c>
      <c r="M30" s="298"/>
      <c r="N30" s="292"/>
      <c r="O30" s="220"/>
      <c r="P30" s="298"/>
      <c r="Q30" s="292"/>
      <c r="R30" s="220"/>
      <c r="S30" s="298"/>
      <c r="T30" s="292"/>
      <c r="U30" s="220"/>
      <c r="V30" s="298"/>
      <c r="W30" s="292"/>
      <c r="X30" s="188"/>
      <c r="Y30" s="298"/>
      <c r="Z30" s="292"/>
      <c r="AA30" s="195"/>
      <c r="AB30" s="298"/>
      <c r="AC30" s="292"/>
      <c r="AD30" s="238" t="s">
        <v>177</v>
      </c>
      <c r="AE30" s="298"/>
      <c r="AF30" s="292"/>
      <c r="AG30" s="220"/>
      <c r="AH30" s="298"/>
      <c r="AI30" s="292"/>
      <c r="AJ30" s="221"/>
      <c r="AK30" s="298"/>
      <c r="AL30" s="305"/>
      <c r="AM30" s="264"/>
      <c r="AN30" s="131"/>
      <c r="AO30" s="131"/>
      <c r="AP30" s="130"/>
      <c r="AQ30" s="131"/>
      <c r="AR30" s="131"/>
      <c r="AS30" s="130"/>
      <c r="AT30" s="131"/>
      <c r="AU30" s="131"/>
      <c r="AV30" s="130"/>
      <c r="AW30" s="130"/>
      <c r="AX30" s="130"/>
      <c r="AY30" s="130"/>
    </row>
    <row r="31" spans="1:51" ht="13" x14ac:dyDescent="0.15">
      <c r="A31" s="273"/>
      <c r="B31" s="292"/>
      <c r="C31" s="184"/>
      <c r="D31" s="298"/>
      <c r="E31" s="292"/>
      <c r="F31" s="178"/>
      <c r="G31" s="298"/>
      <c r="H31" s="292"/>
      <c r="I31" s="220"/>
      <c r="J31" s="298"/>
      <c r="K31" s="291" t="s">
        <v>494</v>
      </c>
      <c r="L31" s="236" t="s">
        <v>548</v>
      </c>
      <c r="M31" s="298"/>
      <c r="N31" s="292"/>
      <c r="O31" s="235" t="s">
        <v>170</v>
      </c>
      <c r="P31" s="298"/>
      <c r="Q31" s="292"/>
      <c r="R31" s="220"/>
      <c r="S31" s="298"/>
      <c r="T31" s="292"/>
      <c r="U31" s="220"/>
      <c r="V31" s="298"/>
      <c r="W31" s="292"/>
      <c r="X31" s="188"/>
      <c r="Y31" s="298"/>
      <c r="Z31" s="292"/>
      <c r="AA31" s="195"/>
      <c r="AB31" s="298"/>
      <c r="AC31" s="292"/>
      <c r="AD31" s="221" t="s">
        <v>117</v>
      </c>
      <c r="AE31" s="298"/>
      <c r="AF31" s="292"/>
      <c r="AG31" s="220"/>
      <c r="AH31" s="298"/>
      <c r="AI31" s="292"/>
      <c r="AJ31" s="221"/>
      <c r="AK31" s="298"/>
      <c r="AL31" s="305"/>
      <c r="AM31" s="264"/>
      <c r="AN31" s="131"/>
      <c r="AO31" s="131"/>
      <c r="AP31" s="130"/>
      <c r="AQ31" s="131"/>
      <c r="AR31" s="131"/>
      <c r="AS31" s="130"/>
      <c r="AT31" s="131"/>
      <c r="AU31" s="131"/>
      <c r="AV31" s="130"/>
      <c r="AW31" s="130"/>
      <c r="AX31" s="130"/>
      <c r="AY31" s="130"/>
    </row>
    <row r="32" spans="1:51" ht="13" x14ac:dyDescent="0.15">
      <c r="A32" s="273"/>
      <c r="B32" s="292"/>
      <c r="C32" s="184"/>
      <c r="D32" s="298"/>
      <c r="E32" s="292"/>
      <c r="F32" s="178"/>
      <c r="G32" s="298"/>
      <c r="H32" s="292"/>
      <c r="I32" s="220"/>
      <c r="J32" s="298"/>
      <c r="K32" s="291"/>
      <c r="L32" s="220"/>
      <c r="M32" s="298"/>
      <c r="N32" s="292"/>
      <c r="O32" s="220"/>
      <c r="P32" s="298"/>
      <c r="Q32" s="292"/>
      <c r="R32" s="220"/>
      <c r="S32" s="298"/>
      <c r="T32" s="292"/>
      <c r="U32" s="220"/>
      <c r="V32" s="298"/>
      <c r="W32" s="292"/>
      <c r="X32" s="188"/>
      <c r="Y32" s="298"/>
      <c r="Z32" s="292"/>
      <c r="AA32" s="195"/>
      <c r="AB32" s="298"/>
      <c r="AC32" s="292"/>
      <c r="AD32" s="221" t="s">
        <v>115</v>
      </c>
      <c r="AE32" s="298"/>
      <c r="AF32" s="292"/>
      <c r="AG32" s="220"/>
      <c r="AH32" s="298"/>
      <c r="AI32" s="292"/>
      <c r="AJ32" s="221"/>
      <c r="AK32" s="298"/>
      <c r="AL32" s="305"/>
      <c r="AM32" s="264"/>
      <c r="AN32" s="131"/>
      <c r="AO32" s="131"/>
      <c r="AP32" s="130"/>
      <c r="AQ32" s="131"/>
      <c r="AR32" s="131"/>
      <c r="AS32" s="130"/>
      <c r="AT32" s="131"/>
      <c r="AU32" s="131"/>
      <c r="AV32" s="130"/>
      <c r="AW32" s="130"/>
      <c r="AX32" s="130"/>
      <c r="AY32" s="130"/>
    </row>
    <row r="33" spans="1:51" ht="13" x14ac:dyDescent="0.15">
      <c r="A33" s="273"/>
      <c r="B33" s="292"/>
      <c r="C33" s="184"/>
      <c r="D33" s="298"/>
      <c r="E33" s="292"/>
      <c r="F33" s="178"/>
      <c r="G33" s="298"/>
      <c r="H33" s="292"/>
      <c r="I33" s="220"/>
      <c r="J33" s="298"/>
      <c r="K33" s="292"/>
      <c r="L33" s="232"/>
      <c r="M33" s="298"/>
      <c r="N33" s="292"/>
      <c r="O33" s="232"/>
      <c r="P33" s="298"/>
      <c r="Q33" s="292"/>
      <c r="R33" s="186"/>
      <c r="S33" s="298"/>
      <c r="T33" s="292"/>
      <c r="U33" s="220"/>
      <c r="V33" s="298"/>
      <c r="W33" s="292"/>
      <c r="X33" s="188"/>
      <c r="Y33" s="298"/>
      <c r="Z33" s="292"/>
      <c r="AA33" s="195"/>
      <c r="AB33" s="298"/>
      <c r="AC33" s="292"/>
      <c r="AD33" s="238" t="s">
        <v>171</v>
      </c>
      <c r="AE33" s="298"/>
      <c r="AF33" s="292"/>
      <c r="AG33" s="220"/>
      <c r="AH33" s="298"/>
      <c r="AI33" s="292"/>
      <c r="AJ33" s="221"/>
      <c r="AK33" s="298"/>
      <c r="AL33" s="305"/>
      <c r="AM33" s="265"/>
      <c r="AN33" s="131"/>
      <c r="AO33" s="131"/>
      <c r="AP33" s="130"/>
      <c r="AQ33" s="131"/>
      <c r="AR33" s="131"/>
      <c r="AS33" s="130"/>
      <c r="AT33" s="131"/>
      <c r="AU33" s="131"/>
      <c r="AV33" s="130"/>
      <c r="AW33" s="130"/>
      <c r="AX33" s="130"/>
      <c r="AY33" s="130"/>
    </row>
    <row r="34" spans="1:51" ht="13" x14ac:dyDescent="0.15">
      <c r="A34" s="273"/>
      <c r="B34" s="292"/>
      <c r="C34" s="184"/>
      <c r="D34" s="298"/>
      <c r="E34" s="292"/>
      <c r="F34" s="178"/>
      <c r="G34" s="298"/>
      <c r="H34" s="292"/>
      <c r="I34" s="232"/>
      <c r="J34" s="298"/>
      <c r="K34" s="292"/>
      <c r="L34" s="178"/>
      <c r="M34" s="298"/>
      <c r="N34" s="292"/>
      <c r="O34" s="232"/>
      <c r="P34" s="298"/>
      <c r="Q34" s="292"/>
      <c r="R34" s="178"/>
      <c r="S34" s="298"/>
      <c r="T34" s="292"/>
      <c r="U34" s="192"/>
      <c r="V34" s="298"/>
      <c r="W34" s="292"/>
      <c r="X34" s="186"/>
      <c r="Y34" s="298"/>
      <c r="Z34" s="292"/>
      <c r="AA34" s="195"/>
      <c r="AB34" s="298"/>
      <c r="AC34" s="292"/>
      <c r="AD34" s="220"/>
      <c r="AE34" s="298"/>
      <c r="AF34" s="292"/>
      <c r="AG34" s="232"/>
      <c r="AH34" s="298"/>
      <c r="AI34" s="292"/>
      <c r="AJ34" s="221"/>
      <c r="AK34" s="298"/>
      <c r="AL34" s="306"/>
      <c r="AM34" s="266"/>
      <c r="AN34" s="131"/>
      <c r="AO34" s="131"/>
      <c r="AP34" s="130"/>
      <c r="AQ34" s="131"/>
      <c r="AR34" s="131"/>
      <c r="AS34" s="130"/>
      <c r="AT34" s="131"/>
      <c r="AU34" s="131"/>
      <c r="AV34" s="130"/>
      <c r="AW34" s="130"/>
      <c r="AX34" s="130"/>
      <c r="AY34" s="130"/>
    </row>
    <row r="35" spans="1:51" ht="13" x14ac:dyDescent="0.15">
      <c r="A35" s="273"/>
      <c r="B35" s="292"/>
      <c r="C35" s="145"/>
      <c r="D35" s="298"/>
      <c r="E35" s="292"/>
      <c r="F35" s="178"/>
      <c r="G35" s="298"/>
      <c r="H35" s="292"/>
      <c r="I35" s="178"/>
      <c r="J35" s="298"/>
      <c r="K35" s="292"/>
      <c r="L35" s="178"/>
      <c r="M35" s="298"/>
      <c r="N35" s="292"/>
      <c r="O35" s="232"/>
      <c r="P35" s="298"/>
      <c r="Q35" s="292"/>
      <c r="R35" s="220"/>
      <c r="S35" s="298"/>
      <c r="T35" s="292"/>
      <c r="U35" s="220"/>
      <c r="V35" s="298"/>
      <c r="W35" s="292"/>
      <c r="X35" s="188"/>
      <c r="Y35" s="298"/>
      <c r="Z35" s="292"/>
      <c r="AA35" s="195"/>
      <c r="AB35" s="298"/>
      <c r="AC35" s="292"/>
      <c r="AD35" s="235" t="s">
        <v>170</v>
      </c>
      <c r="AE35" s="298"/>
      <c r="AF35" s="292"/>
      <c r="AG35" s="232"/>
      <c r="AH35" s="298"/>
      <c r="AI35" s="292"/>
      <c r="AJ35" s="221"/>
      <c r="AK35" s="298"/>
      <c r="AL35" s="306"/>
      <c r="AM35" s="267"/>
      <c r="AN35" s="131"/>
      <c r="AO35" s="131"/>
      <c r="AP35" s="130"/>
      <c r="AQ35" s="131"/>
      <c r="AR35" s="131"/>
      <c r="AS35" s="130"/>
      <c r="AT35" s="131"/>
      <c r="AU35" s="131"/>
      <c r="AV35" s="130"/>
      <c r="AW35" s="130"/>
      <c r="AX35" s="130"/>
      <c r="AY35" s="130"/>
    </row>
    <row r="36" spans="1:51" ht="14" thickBot="1" x14ac:dyDescent="0.2">
      <c r="A36" s="273"/>
      <c r="B36" s="292"/>
      <c r="C36" s="145"/>
      <c r="D36" s="298"/>
      <c r="E36" s="292"/>
      <c r="F36" s="178"/>
      <c r="G36" s="298"/>
      <c r="H36" s="292"/>
      <c r="I36" s="178"/>
      <c r="J36" s="298"/>
      <c r="K36" s="292"/>
      <c r="L36" s="178"/>
      <c r="M36" s="298"/>
      <c r="N36" s="292"/>
      <c r="O36" s="232"/>
      <c r="P36" s="298"/>
      <c r="Q36" s="292"/>
      <c r="R36" s="220"/>
      <c r="S36" s="298"/>
      <c r="T36" s="292"/>
      <c r="U36" s="192"/>
      <c r="V36" s="298"/>
      <c r="W36" s="292"/>
      <c r="X36" s="188"/>
      <c r="Y36" s="298"/>
      <c r="Z36" s="292"/>
      <c r="AA36" s="186"/>
      <c r="AB36" s="298"/>
      <c r="AC36" s="292"/>
      <c r="AD36" s="220"/>
      <c r="AE36" s="298"/>
      <c r="AF36" s="292"/>
      <c r="AG36" s="232"/>
      <c r="AH36" s="298"/>
      <c r="AI36" s="292"/>
      <c r="AJ36" s="221"/>
      <c r="AK36" s="298"/>
      <c r="AL36" s="305"/>
      <c r="AM36" s="265"/>
      <c r="AN36" s="131"/>
      <c r="AO36" s="131"/>
      <c r="AP36" s="130"/>
      <c r="AQ36" s="131"/>
      <c r="AR36" s="131"/>
      <c r="AS36" s="130"/>
      <c r="AT36" s="131"/>
      <c r="AU36" s="131"/>
      <c r="AV36" s="130"/>
      <c r="AW36" s="130"/>
      <c r="AX36" s="130"/>
      <c r="AY36" s="130"/>
    </row>
    <row r="37" spans="1:51" ht="14" thickBot="1" x14ac:dyDescent="0.2">
      <c r="A37" s="273"/>
      <c r="B37" s="292"/>
      <c r="C37" s="184"/>
      <c r="D37" s="298"/>
      <c r="E37" s="292"/>
      <c r="F37" s="184"/>
      <c r="G37" s="298"/>
      <c r="H37" s="292"/>
      <c r="I37" s="186"/>
      <c r="J37" s="298"/>
      <c r="K37" s="292"/>
      <c r="L37" s="186"/>
      <c r="M37" s="298"/>
      <c r="N37" s="292"/>
      <c r="O37" s="187">
        <v>3</v>
      </c>
      <c r="P37" s="298"/>
      <c r="Q37" s="292"/>
      <c r="R37" s="230"/>
      <c r="S37" s="298"/>
      <c r="T37" s="292"/>
      <c r="U37" s="187">
        <v>2</v>
      </c>
      <c r="V37" s="298"/>
      <c r="W37" s="292"/>
      <c r="X37" s="186"/>
      <c r="Y37" s="298"/>
      <c r="Z37" s="292"/>
      <c r="AA37" s="187">
        <v>1</v>
      </c>
      <c r="AB37" s="298"/>
      <c r="AC37" s="292"/>
      <c r="AD37" s="220"/>
      <c r="AE37" s="298"/>
      <c r="AF37" s="292"/>
      <c r="AG37" s="187">
        <v>3</v>
      </c>
      <c r="AH37" s="298"/>
      <c r="AI37" s="292"/>
      <c r="AJ37" s="221"/>
      <c r="AK37" s="298"/>
      <c r="AL37" s="305"/>
      <c r="AM37" s="265"/>
      <c r="AN37" s="131"/>
      <c r="AO37" s="131"/>
      <c r="AP37" s="130"/>
      <c r="AQ37" s="131"/>
      <c r="AR37" s="131"/>
      <c r="AS37" s="130"/>
      <c r="AT37" s="131"/>
      <c r="AU37" s="131"/>
      <c r="AV37" s="130"/>
      <c r="AW37" s="130"/>
      <c r="AX37" s="130"/>
      <c r="AY37" s="130"/>
    </row>
    <row r="38" spans="1:51" ht="14" thickBot="1" x14ac:dyDescent="0.2">
      <c r="A38" s="273"/>
      <c r="B38" s="292"/>
      <c r="C38" s="184"/>
      <c r="D38" s="298"/>
      <c r="E38" s="292"/>
      <c r="F38" s="141"/>
      <c r="G38" s="298"/>
      <c r="H38" s="292"/>
      <c r="I38" s="186"/>
      <c r="J38" s="298"/>
      <c r="K38" s="292"/>
      <c r="L38" s="186"/>
      <c r="M38" s="298"/>
      <c r="N38" s="292"/>
      <c r="O38" s="190" t="s">
        <v>362</v>
      </c>
      <c r="P38" s="298"/>
      <c r="Q38" s="292"/>
      <c r="R38" s="230"/>
      <c r="S38" s="298"/>
      <c r="T38" s="292"/>
      <c r="U38" s="190" t="s">
        <v>362</v>
      </c>
      <c r="V38" s="298"/>
      <c r="W38" s="292"/>
      <c r="X38" s="186"/>
      <c r="Y38" s="298"/>
      <c r="Z38" s="292"/>
      <c r="AA38" s="190" t="s">
        <v>362</v>
      </c>
      <c r="AB38" s="298"/>
      <c r="AC38" s="292"/>
      <c r="AD38" s="221"/>
      <c r="AE38" s="298"/>
      <c r="AF38" s="292"/>
      <c r="AG38" s="190" t="s">
        <v>362</v>
      </c>
      <c r="AH38" s="298"/>
      <c r="AI38" s="292"/>
      <c r="AJ38" s="221"/>
      <c r="AK38" s="298"/>
      <c r="AL38" s="306"/>
      <c r="AM38" s="266"/>
      <c r="AN38" s="131"/>
      <c r="AO38" s="131"/>
      <c r="AP38" s="130"/>
      <c r="AQ38" s="131"/>
      <c r="AR38" s="131"/>
      <c r="AS38" s="130"/>
      <c r="AT38" s="131"/>
      <c r="AU38" s="131"/>
      <c r="AV38" s="130"/>
      <c r="AW38" s="130"/>
      <c r="AX38" s="130"/>
      <c r="AY38" s="130"/>
    </row>
    <row r="39" spans="1:51" ht="14" thickBot="1" x14ac:dyDescent="0.2">
      <c r="A39" s="273"/>
      <c r="B39" s="292"/>
      <c r="C39" s="145"/>
      <c r="D39" s="298"/>
      <c r="E39" s="292"/>
      <c r="F39" s="178"/>
      <c r="G39" s="298"/>
      <c r="H39" s="292"/>
      <c r="I39" s="186"/>
      <c r="J39" s="298"/>
      <c r="K39" s="292"/>
      <c r="L39" s="186"/>
      <c r="M39" s="298"/>
      <c r="N39" s="292"/>
      <c r="O39" s="225" t="s">
        <v>147</v>
      </c>
      <c r="P39" s="298"/>
      <c r="Q39" s="292"/>
      <c r="R39" s="189"/>
      <c r="S39" s="298"/>
      <c r="T39" s="292"/>
      <c r="U39" s="225" t="s">
        <v>147</v>
      </c>
      <c r="V39" s="298"/>
      <c r="W39" s="292"/>
      <c r="X39" s="178"/>
      <c r="Y39" s="298"/>
      <c r="Z39" s="292"/>
      <c r="AA39" s="226" t="s">
        <v>138</v>
      </c>
      <c r="AB39" s="298"/>
      <c r="AC39" s="292"/>
      <c r="AD39" s="220"/>
      <c r="AE39" s="298"/>
      <c r="AF39" s="292"/>
      <c r="AG39" s="225" t="s">
        <v>110</v>
      </c>
      <c r="AH39" s="298"/>
      <c r="AI39" s="292"/>
      <c r="AJ39" s="221"/>
      <c r="AK39" s="298"/>
      <c r="AL39" s="306"/>
      <c r="AM39" s="267"/>
      <c r="AN39" s="131"/>
      <c r="AO39" s="131"/>
      <c r="AP39" s="130"/>
      <c r="AQ39" s="131"/>
      <c r="AR39" s="131"/>
      <c r="AS39" s="130"/>
      <c r="AT39" s="131"/>
      <c r="AU39" s="131"/>
      <c r="AV39" s="130"/>
      <c r="AW39" s="130"/>
      <c r="AY39" s="130"/>
    </row>
    <row r="40" spans="1:51" ht="14" thickBot="1" x14ac:dyDescent="0.2">
      <c r="A40" s="273"/>
      <c r="B40" s="292"/>
      <c r="C40" s="145"/>
      <c r="D40" s="298"/>
      <c r="E40" s="292"/>
      <c r="F40" s="181"/>
      <c r="G40" s="298"/>
      <c r="H40" s="292"/>
      <c r="I40" s="178"/>
      <c r="J40" s="298"/>
      <c r="K40" s="292"/>
      <c r="L40" s="178"/>
      <c r="M40" s="298"/>
      <c r="N40" s="292"/>
      <c r="O40" s="224" t="s">
        <v>120</v>
      </c>
      <c r="P40" s="298"/>
      <c r="Q40" s="292"/>
      <c r="R40" s="178"/>
      <c r="S40" s="298"/>
      <c r="T40" s="292"/>
      <c r="U40" s="198" t="s">
        <v>92</v>
      </c>
      <c r="V40" s="298"/>
      <c r="W40" s="292"/>
      <c r="X40" s="188"/>
      <c r="Y40" s="298"/>
      <c r="Z40" s="292"/>
      <c r="AA40" s="192"/>
      <c r="AB40" s="298"/>
      <c r="AC40" s="292"/>
      <c r="AD40" s="220"/>
      <c r="AE40" s="298"/>
      <c r="AF40" s="292"/>
      <c r="AG40" s="224" t="s">
        <v>154</v>
      </c>
      <c r="AH40" s="298"/>
      <c r="AI40" s="292"/>
      <c r="AJ40" s="221"/>
      <c r="AK40" s="298"/>
      <c r="AL40" s="306"/>
      <c r="AM40" s="267"/>
      <c r="AN40" s="131"/>
      <c r="AO40" s="131"/>
      <c r="AP40" s="130"/>
      <c r="AQ40" s="131"/>
      <c r="AR40" s="131"/>
      <c r="AS40" s="130"/>
      <c r="AT40" s="131"/>
      <c r="AU40" s="131"/>
      <c r="AV40" s="130"/>
      <c r="AW40" s="130"/>
      <c r="AX40" s="130"/>
      <c r="AY40" s="130"/>
    </row>
    <row r="41" spans="1:51" ht="14" thickBot="1" x14ac:dyDescent="0.2">
      <c r="A41" s="273"/>
      <c r="B41" s="292"/>
      <c r="C41" s="145"/>
      <c r="D41" s="298"/>
      <c r="E41" s="292"/>
      <c r="F41" s="182"/>
      <c r="G41" s="298"/>
      <c r="H41" s="292"/>
      <c r="I41" s="178"/>
      <c r="J41" s="298"/>
      <c r="K41" s="292"/>
      <c r="L41" s="178"/>
      <c r="M41" s="298"/>
      <c r="N41" s="292"/>
      <c r="O41" s="198" t="s">
        <v>133</v>
      </c>
      <c r="P41" s="298"/>
      <c r="Q41" s="292"/>
      <c r="R41" s="178"/>
      <c r="S41" s="298"/>
      <c r="T41" s="292"/>
      <c r="U41" s="178"/>
      <c r="V41" s="298"/>
      <c r="W41" s="292"/>
      <c r="X41" s="188"/>
      <c r="Y41" s="298"/>
      <c r="Z41" s="292"/>
      <c r="AA41" s="178"/>
      <c r="AB41" s="298"/>
      <c r="AC41" s="292"/>
      <c r="AD41" s="221"/>
      <c r="AE41" s="298"/>
      <c r="AF41" s="292"/>
      <c r="AG41" s="198" t="s">
        <v>139</v>
      </c>
      <c r="AH41" s="298"/>
      <c r="AI41" s="292"/>
      <c r="AJ41" s="221"/>
      <c r="AK41" s="298"/>
      <c r="AL41" s="304"/>
      <c r="AM41" s="263"/>
      <c r="AN41" s="131"/>
      <c r="AO41" s="131"/>
      <c r="AP41" s="130"/>
      <c r="AQ41" s="131"/>
      <c r="AR41" s="131"/>
      <c r="AS41" s="130"/>
      <c r="AT41" s="131"/>
      <c r="AU41" s="131"/>
      <c r="AV41" s="130"/>
      <c r="AW41" s="130"/>
      <c r="AX41" s="130"/>
      <c r="AY41" s="130"/>
    </row>
    <row r="42" spans="1:51" ht="13" x14ac:dyDescent="0.15">
      <c r="A42" s="273"/>
      <c r="B42" s="292"/>
      <c r="C42" s="268" t="s">
        <v>485</v>
      </c>
      <c r="D42" s="298"/>
      <c r="E42" s="292"/>
      <c r="F42" s="268" t="s">
        <v>485</v>
      </c>
      <c r="G42" s="298"/>
      <c r="H42" s="292"/>
      <c r="I42" s="268" t="s">
        <v>485</v>
      </c>
      <c r="J42" s="298"/>
      <c r="K42" s="292"/>
      <c r="L42" s="268" t="s">
        <v>485</v>
      </c>
      <c r="M42" s="298"/>
      <c r="N42" s="292"/>
      <c r="O42" s="144" t="s">
        <v>485</v>
      </c>
      <c r="P42" s="298"/>
      <c r="Q42" s="292"/>
      <c r="R42" s="268" t="s">
        <v>487</v>
      </c>
      <c r="S42" s="298"/>
      <c r="T42" s="292"/>
      <c r="U42" s="268" t="s">
        <v>485</v>
      </c>
      <c r="V42" s="298"/>
      <c r="W42" s="292"/>
      <c r="X42" s="268" t="s">
        <v>486</v>
      </c>
      <c r="Y42" s="298"/>
      <c r="Z42" s="292"/>
      <c r="AA42" s="268" t="s">
        <v>485</v>
      </c>
      <c r="AB42" s="298"/>
      <c r="AC42" s="292"/>
      <c r="AD42" s="268" t="s">
        <v>488</v>
      </c>
      <c r="AE42" s="298"/>
      <c r="AF42" s="292"/>
      <c r="AG42" s="268" t="s">
        <v>485</v>
      </c>
      <c r="AH42" s="298"/>
      <c r="AI42" s="292"/>
      <c r="AJ42" s="268" t="s">
        <v>487</v>
      </c>
      <c r="AK42" s="298"/>
      <c r="AL42" s="304"/>
      <c r="AM42" s="263"/>
      <c r="AN42" s="131"/>
      <c r="AO42" s="131"/>
      <c r="AP42" s="130"/>
      <c r="AQ42" s="131"/>
      <c r="AR42" s="131"/>
      <c r="AS42" s="130"/>
      <c r="AT42" s="131"/>
      <c r="AU42" s="131"/>
      <c r="AV42" s="130"/>
      <c r="AW42" s="130"/>
      <c r="AX42" s="130"/>
      <c r="AY42" s="130"/>
    </row>
    <row r="43" spans="1:51" ht="14" thickBot="1" x14ac:dyDescent="0.2">
      <c r="A43" s="273"/>
      <c r="B43" s="293"/>
      <c r="C43" s="281"/>
      <c r="D43" s="299"/>
      <c r="E43" s="293"/>
      <c r="F43" s="282"/>
      <c r="G43" s="299"/>
      <c r="H43" s="293"/>
      <c r="I43" s="284"/>
      <c r="J43" s="299"/>
      <c r="K43" s="293"/>
      <c r="L43" s="284"/>
      <c r="M43" s="299"/>
      <c r="N43" s="293"/>
      <c r="O43" s="284"/>
      <c r="P43" s="299"/>
      <c r="Q43" s="293"/>
      <c r="R43" s="284"/>
      <c r="S43" s="299"/>
      <c r="T43" s="293"/>
      <c r="U43" s="284"/>
      <c r="V43" s="299"/>
      <c r="W43" s="293"/>
      <c r="X43" s="307"/>
      <c r="Y43" s="299"/>
      <c r="Z43" s="293"/>
      <c r="AA43" s="284"/>
      <c r="AB43" s="299"/>
      <c r="AC43" s="293"/>
      <c r="AD43" s="284"/>
      <c r="AE43" s="299"/>
      <c r="AF43" s="293"/>
      <c r="AG43" s="308"/>
      <c r="AH43" s="299"/>
      <c r="AI43" s="293"/>
      <c r="AJ43" s="309"/>
      <c r="AK43" s="299"/>
      <c r="AL43" s="304"/>
      <c r="AM43" s="263"/>
      <c r="AN43" s="131"/>
      <c r="AO43" s="131"/>
      <c r="AP43" s="130"/>
      <c r="AQ43" s="131"/>
      <c r="AR43" s="131"/>
      <c r="AS43" s="130"/>
      <c r="AT43" s="131"/>
      <c r="AU43" s="131"/>
      <c r="AV43" s="130"/>
      <c r="AW43" s="130"/>
      <c r="AX43" s="130"/>
      <c r="AY43" s="130"/>
    </row>
    <row r="44" spans="1:51" ht="13" x14ac:dyDescent="0.15">
      <c r="A44" s="165"/>
      <c r="B44" s="285"/>
      <c r="C44" s="193"/>
      <c r="D44" s="285"/>
      <c r="E44" s="285"/>
      <c r="F44" s="194"/>
      <c r="G44" s="285"/>
      <c r="H44" s="285"/>
      <c r="I44" s="130"/>
      <c r="J44" s="285"/>
      <c r="K44" s="285"/>
      <c r="L44" s="249" t="s">
        <v>479</v>
      </c>
      <c r="M44" s="285"/>
      <c r="N44" s="285"/>
      <c r="O44" s="130"/>
      <c r="P44" s="285"/>
      <c r="Q44" s="285"/>
      <c r="R44" s="130"/>
      <c r="S44" s="285"/>
      <c r="T44" s="285"/>
      <c r="U44" s="130"/>
      <c r="V44" s="285"/>
      <c r="W44" s="285"/>
      <c r="X44" s="130"/>
      <c r="Y44" s="285"/>
      <c r="Z44" s="285"/>
      <c r="AA44" s="130"/>
      <c r="AB44" s="285"/>
      <c r="AC44" s="285"/>
      <c r="AD44" s="130"/>
      <c r="AE44" s="285"/>
      <c r="AF44" s="285"/>
      <c r="AG44" s="130"/>
      <c r="AH44" s="285"/>
      <c r="AI44" s="285"/>
      <c r="AJ44" s="130"/>
      <c r="AK44" s="285"/>
      <c r="AL44" s="285"/>
      <c r="AM44" s="260"/>
      <c r="AN44" s="131"/>
      <c r="AO44" s="131"/>
      <c r="AP44" s="130"/>
      <c r="AQ44" s="131"/>
      <c r="AR44" s="131"/>
      <c r="AS44" s="130"/>
      <c r="AT44" s="131"/>
      <c r="AU44" s="131"/>
      <c r="AV44" s="130"/>
      <c r="AW44" s="130"/>
      <c r="AX44" s="130"/>
      <c r="AY44" s="130"/>
    </row>
    <row r="45" spans="1:51" ht="13" x14ac:dyDescent="0.15">
      <c r="A45" s="165"/>
      <c r="B45" s="285"/>
      <c r="C45" s="193"/>
      <c r="D45" s="285"/>
      <c r="E45" s="285"/>
      <c r="F45" s="194"/>
      <c r="G45" s="285"/>
      <c r="H45" s="285"/>
      <c r="I45" s="130"/>
      <c r="J45" s="285"/>
      <c r="K45" s="285"/>
      <c r="L45" s="130"/>
      <c r="M45" s="285"/>
      <c r="N45" s="285"/>
      <c r="O45" s="130"/>
      <c r="P45" s="285"/>
      <c r="Q45" s="285"/>
      <c r="R45" s="130"/>
      <c r="S45" s="285"/>
      <c r="T45" s="285"/>
      <c r="U45" s="130"/>
      <c r="V45" s="285"/>
      <c r="W45" s="285"/>
      <c r="X45" s="130"/>
      <c r="Y45" s="285"/>
      <c r="Z45" s="285"/>
      <c r="AA45" s="130"/>
      <c r="AB45" s="285"/>
      <c r="AC45" s="285"/>
      <c r="AD45" s="130"/>
      <c r="AE45" s="285"/>
      <c r="AF45" s="285"/>
      <c r="AG45" s="130"/>
      <c r="AH45" s="285"/>
      <c r="AI45" s="285"/>
      <c r="AJ45" s="130"/>
      <c r="AK45" s="285"/>
      <c r="AL45" s="285"/>
      <c r="AM45" s="130"/>
      <c r="AN45" s="131"/>
      <c r="AO45" s="131"/>
      <c r="AP45" s="130"/>
      <c r="AQ45" s="131"/>
      <c r="AR45" s="131"/>
      <c r="AS45" s="130"/>
      <c r="AT45" s="131"/>
      <c r="AU45" s="131"/>
      <c r="AV45" s="130"/>
      <c r="AW45" s="130"/>
      <c r="AX45" s="130"/>
      <c r="AY45" s="130"/>
    </row>
    <row r="46" spans="1:51" ht="13" x14ac:dyDescent="0.15">
      <c r="A46" s="165"/>
      <c r="B46" s="285"/>
      <c r="C46" s="193"/>
      <c r="D46" s="285"/>
      <c r="E46" s="285"/>
      <c r="F46" s="194"/>
      <c r="G46" s="285"/>
      <c r="H46" s="285"/>
      <c r="I46" s="130"/>
      <c r="J46" s="285"/>
      <c r="K46" s="285"/>
      <c r="L46" s="130"/>
      <c r="M46" s="285"/>
      <c r="N46" s="285"/>
      <c r="O46" s="130"/>
      <c r="P46" s="285"/>
      <c r="Q46" s="285"/>
      <c r="R46" s="130"/>
      <c r="S46" s="285"/>
      <c r="T46" s="285"/>
      <c r="U46" s="130"/>
      <c r="V46" s="285"/>
      <c r="W46" s="285"/>
      <c r="X46" s="130"/>
      <c r="Y46" s="285"/>
      <c r="Z46" s="285"/>
      <c r="AA46" s="130"/>
      <c r="AB46" s="285"/>
      <c r="AC46" s="285"/>
      <c r="AD46" s="130"/>
      <c r="AE46" s="285"/>
      <c r="AF46" s="285"/>
      <c r="AG46" s="130"/>
      <c r="AH46" s="285"/>
      <c r="AI46" s="285"/>
      <c r="AJ46" s="130"/>
      <c r="AK46" s="285"/>
      <c r="AL46" s="285"/>
      <c r="AM46" s="130"/>
      <c r="AN46" s="131"/>
      <c r="AO46" s="131"/>
      <c r="AP46" s="130"/>
      <c r="AQ46" s="131"/>
      <c r="AR46" s="131"/>
      <c r="AS46" s="130"/>
      <c r="AT46" s="131"/>
      <c r="AU46" s="131"/>
      <c r="AV46" s="130"/>
      <c r="AW46" s="130"/>
      <c r="AX46" s="130"/>
      <c r="AY46" s="130"/>
    </row>
    <row r="47" spans="1:51" ht="28" x14ac:dyDescent="0.15">
      <c r="A47" s="165"/>
      <c r="B47" s="285"/>
      <c r="C47" s="248" t="s">
        <v>478</v>
      </c>
      <c r="D47" s="285"/>
      <c r="E47" s="285"/>
      <c r="F47" s="271" t="s">
        <v>612</v>
      </c>
      <c r="G47" s="285"/>
      <c r="H47" s="285"/>
      <c r="I47" s="165"/>
      <c r="J47" s="285"/>
      <c r="K47" s="285"/>
      <c r="L47" s="165"/>
      <c r="M47" s="285"/>
      <c r="N47" s="285"/>
      <c r="O47" s="165"/>
      <c r="P47" s="285"/>
      <c r="Q47" s="285"/>
      <c r="R47" s="248" t="s">
        <v>478</v>
      </c>
      <c r="S47" s="285"/>
      <c r="T47" s="285"/>
      <c r="U47" s="271" t="s">
        <v>613</v>
      </c>
      <c r="V47" s="285"/>
      <c r="W47" s="285"/>
      <c r="X47" s="130"/>
      <c r="Y47" s="285"/>
      <c r="Z47" s="285"/>
      <c r="AA47" s="130"/>
      <c r="AB47" s="285"/>
      <c r="AC47" s="285"/>
      <c r="AD47" s="130"/>
      <c r="AE47" s="285"/>
      <c r="AF47" s="285"/>
      <c r="AG47" s="130"/>
      <c r="AH47" s="285"/>
      <c r="AI47" s="285"/>
      <c r="AJ47" s="248" t="s">
        <v>478</v>
      </c>
      <c r="AK47" s="285"/>
      <c r="AL47" s="285"/>
      <c r="AM47" s="271" t="s">
        <v>614</v>
      </c>
      <c r="AN47" s="285"/>
      <c r="AO47" s="285"/>
      <c r="AP47" s="130"/>
      <c r="AQ47" s="285"/>
      <c r="AR47" s="285"/>
      <c r="AS47" s="130"/>
      <c r="AT47" s="285"/>
      <c r="AU47" s="285"/>
      <c r="AV47" s="130"/>
      <c r="AW47" s="260"/>
      <c r="AX47" s="130"/>
      <c r="AY47" s="130"/>
    </row>
    <row r="48" spans="1:51" ht="13" x14ac:dyDescent="0.15">
      <c r="A48" s="165"/>
      <c r="B48" s="285"/>
      <c r="C48" s="193"/>
      <c r="D48" s="285"/>
      <c r="E48" s="285"/>
      <c r="F48" s="130"/>
      <c r="G48" s="285"/>
      <c r="H48" s="285"/>
      <c r="I48" s="130"/>
      <c r="J48" s="285"/>
      <c r="K48" s="285"/>
      <c r="L48" s="130"/>
      <c r="M48" s="285"/>
      <c r="N48" s="285"/>
      <c r="O48" s="130"/>
      <c r="P48" s="285"/>
      <c r="Q48" s="285"/>
      <c r="R48" s="170">
        <v>4</v>
      </c>
      <c r="S48" s="285"/>
      <c r="T48" s="285"/>
      <c r="U48" s="170">
        <v>12</v>
      </c>
      <c r="V48" s="285"/>
      <c r="W48" s="285"/>
      <c r="X48" s="130"/>
      <c r="Y48" s="285"/>
      <c r="Z48" s="285"/>
      <c r="AA48" s="170">
        <v>1</v>
      </c>
      <c r="AB48" s="285"/>
      <c r="AC48" s="285"/>
      <c r="AD48" s="130"/>
      <c r="AE48" s="285"/>
      <c r="AF48" s="285"/>
      <c r="AG48" s="130"/>
      <c r="AH48" s="285"/>
      <c r="AI48" s="285"/>
      <c r="AJ48" s="130"/>
      <c r="AK48" s="285"/>
      <c r="AL48" s="285"/>
      <c r="AM48" s="170">
        <v>3</v>
      </c>
      <c r="AN48" s="285"/>
      <c r="AO48" s="285"/>
      <c r="AP48" s="130"/>
      <c r="AQ48" s="285"/>
      <c r="AR48" s="285"/>
      <c r="AS48" s="130"/>
      <c r="AT48" s="285"/>
      <c r="AU48" s="285"/>
      <c r="AV48" s="130"/>
      <c r="AW48" s="260"/>
      <c r="AX48" s="130"/>
      <c r="AY48" s="130"/>
    </row>
    <row r="49" spans="1:51" ht="13" x14ac:dyDescent="0.15">
      <c r="A49" s="140" t="s">
        <v>333</v>
      </c>
      <c r="B49" s="285"/>
      <c r="C49" s="165"/>
      <c r="D49" s="285"/>
      <c r="E49" s="285"/>
      <c r="F49" s="130"/>
      <c r="G49" s="285"/>
      <c r="H49" s="285"/>
      <c r="I49" s="130"/>
      <c r="J49" s="285"/>
      <c r="K49" s="285"/>
      <c r="L49" s="130"/>
      <c r="M49" s="285"/>
      <c r="N49" s="285"/>
      <c r="O49" s="130"/>
      <c r="P49" s="285"/>
      <c r="Q49" s="285"/>
      <c r="R49" s="167" t="s">
        <v>362</v>
      </c>
      <c r="S49" s="285"/>
      <c r="T49" s="285"/>
      <c r="U49" s="167" t="s">
        <v>362</v>
      </c>
      <c r="V49" s="285"/>
      <c r="W49" s="285"/>
      <c r="X49" s="130"/>
      <c r="Y49" s="285"/>
      <c r="Z49" s="285"/>
      <c r="AA49" s="167" t="s">
        <v>362</v>
      </c>
      <c r="AB49" s="285"/>
      <c r="AC49" s="285"/>
      <c r="AD49" s="130"/>
      <c r="AE49" s="285"/>
      <c r="AF49" s="285"/>
      <c r="AG49" s="130"/>
      <c r="AH49" s="285"/>
      <c r="AI49" s="285"/>
      <c r="AJ49" s="130"/>
      <c r="AK49" s="285"/>
      <c r="AL49" s="285"/>
      <c r="AM49" s="167" t="s">
        <v>362</v>
      </c>
      <c r="AN49" s="285"/>
      <c r="AO49" s="285"/>
      <c r="AP49" s="130"/>
      <c r="AQ49" s="285"/>
      <c r="AR49" s="285"/>
      <c r="AS49" s="130"/>
      <c r="AT49" s="285"/>
      <c r="AU49" s="285"/>
      <c r="AV49" s="130"/>
      <c r="AW49" s="260"/>
      <c r="AX49" s="130"/>
      <c r="AY49" s="130"/>
    </row>
    <row r="50" spans="1:51" ht="14" thickBot="1" x14ac:dyDescent="0.2">
      <c r="A50" s="171" t="s">
        <v>334</v>
      </c>
      <c r="B50" s="286"/>
      <c r="C50" s="165"/>
      <c r="D50" s="286"/>
      <c r="E50" s="286"/>
      <c r="F50" s="130"/>
      <c r="G50" s="286"/>
      <c r="H50" s="286"/>
      <c r="I50" s="130"/>
      <c r="J50" s="286"/>
      <c r="K50" s="286"/>
      <c r="L50" s="130"/>
      <c r="M50" s="286"/>
      <c r="N50" s="286"/>
      <c r="O50" s="130"/>
      <c r="P50" s="286"/>
      <c r="Q50" s="286"/>
      <c r="R50" s="130"/>
      <c r="S50" s="286"/>
      <c r="T50" s="286"/>
      <c r="U50" s="130"/>
      <c r="V50" s="286"/>
      <c r="W50" s="286"/>
      <c r="X50" s="130"/>
      <c r="Y50" s="286"/>
      <c r="Z50" s="286"/>
      <c r="AA50" s="130"/>
      <c r="AB50" s="286"/>
      <c r="AC50" s="286"/>
      <c r="AD50" s="130"/>
      <c r="AE50" s="286"/>
      <c r="AF50" s="286"/>
      <c r="AG50" s="130"/>
      <c r="AH50" s="286"/>
      <c r="AI50" s="286"/>
      <c r="AJ50" s="130"/>
      <c r="AK50" s="286"/>
      <c r="AL50" s="286"/>
      <c r="AM50" s="130"/>
      <c r="AN50" s="286"/>
      <c r="AO50" s="286"/>
      <c r="AP50" s="130"/>
      <c r="AQ50" s="286"/>
      <c r="AR50" s="286"/>
      <c r="AS50" s="130"/>
      <c r="AT50" s="286"/>
      <c r="AU50" s="286"/>
      <c r="AV50" s="130"/>
      <c r="AW50" s="260"/>
      <c r="AX50" s="130"/>
      <c r="AY50" s="130"/>
    </row>
    <row r="51" spans="1:51" ht="13" x14ac:dyDescent="0.15">
      <c r="A51" s="273" t="s">
        <v>333</v>
      </c>
      <c r="B51" s="287"/>
      <c r="C51" s="278" t="s">
        <v>335</v>
      </c>
      <c r="D51" s="295"/>
      <c r="E51" s="287"/>
      <c r="F51" s="278" t="s">
        <v>336</v>
      </c>
      <c r="G51" s="295"/>
      <c r="H51" s="287"/>
      <c r="I51" s="278" t="s">
        <v>337</v>
      </c>
      <c r="J51" s="295"/>
      <c r="K51" s="287"/>
      <c r="L51" s="278" t="s">
        <v>338</v>
      </c>
      <c r="M51" s="295"/>
      <c r="N51" s="287"/>
      <c r="O51" s="278" t="s">
        <v>339</v>
      </c>
      <c r="P51" s="295"/>
      <c r="Q51" s="287"/>
      <c r="R51" s="278" t="s">
        <v>340</v>
      </c>
      <c r="S51" s="295"/>
      <c r="T51" s="287"/>
      <c r="U51" s="278" t="s">
        <v>341</v>
      </c>
      <c r="V51" s="295"/>
      <c r="W51" s="287"/>
      <c r="X51" s="278" t="s">
        <v>342</v>
      </c>
      <c r="Y51" s="295"/>
      <c r="Z51" s="287"/>
      <c r="AA51" s="278" t="s">
        <v>343</v>
      </c>
      <c r="AB51" s="295"/>
      <c r="AC51" s="287"/>
      <c r="AD51" s="278" t="s">
        <v>344</v>
      </c>
      <c r="AE51" s="295"/>
      <c r="AF51" s="287"/>
      <c r="AG51" s="278" t="s">
        <v>345</v>
      </c>
      <c r="AH51" s="295"/>
      <c r="AI51" s="287"/>
      <c r="AJ51" s="278" t="s">
        <v>346</v>
      </c>
      <c r="AK51" s="295"/>
      <c r="AL51" s="287"/>
      <c r="AM51" s="278" t="s">
        <v>353</v>
      </c>
      <c r="AN51" s="295"/>
      <c r="AO51" s="302"/>
      <c r="AP51" s="140" t="s">
        <v>347</v>
      </c>
      <c r="AQ51" s="294"/>
      <c r="AR51" s="294"/>
      <c r="AS51" s="140" t="s">
        <v>347</v>
      </c>
      <c r="AT51" s="294"/>
      <c r="AU51" s="294"/>
      <c r="AV51" s="140" t="s">
        <v>347</v>
      </c>
      <c r="AW51" s="261"/>
      <c r="AX51" s="130"/>
      <c r="AY51" s="130"/>
    </row>
    <row r="52" spans="1:51" s="175" customFormat="1" ht="30" x14ac:dyDescent="0.15">
      <c r="A52" s="274"/>
      <c r="B52" s="288"/>
      <c r="C52" s="173" t="s">
        <v>82</v>
      </c>
      <c r="D52" s="296"/>
      <c r="E52" s="288"/>
      <c r="F52" s="173" t="s">
        <v>436</v>
      </c>
      <c r="G52" s="296"/>
      <c r="H52" s="288"/>
      <c r="I52" s="173" t="s">
        <v>437</v>
      </c>
      <c r="J52" s="296"/>
      <c r="K52" s="288"/>
      <c r="L52" s="172" t="s">
        <v>438</v>
      </c>
      <c r="M52" s="296"/>
      <c r="N52" s="288"/>
      <c r="O52" s="173" t="s">
        <v>83</v>
      </c>
      <c r="P52" s="296"/>
      <c r="Q52" s="288"/>
      <c r="R52" s="172" t="s">
        <v>439</v>
      </c>
      <c r="S52" s="296"/>
      <c r="T52" s="288"/>
      <c r="U52" s="173" t="s">
        <v>91</v>
      </c>
      <c r="V52" s="296"/>
      <c r="W52" s="288"/>
      <c r="X52" s="173" t="s">
        <v>440</v>
      </c>
      <c r="Y52" s="296"/>
      <c r="Z52" s="288"/>
      <c r="AA52" s="173" t="s">
        <v>88</v>
      </c>
      <c r="AB52" s="296"/>
      <c r="AC52" s="288"/>
      <c r="AD52" s="172" t="s">
        <v>441</v>
      </c>
      <c r="AE52" s="296"/>
      <c r="AF52" s="288"/>
      <c r="AG52" s="173" t="s">
        <v>79</v>
      </c>
      <c r="AH52" s="296"/>
      <c r="AI52" s="288"/>
      <c r="AJ52" s="172" t="s">
        <v>442</v>
      </c>
      <c r="AK52" s="296"/>
      <c r="AL52" s="288"/>
      <c r="AM52" s="172" t="s">
        <v>443</v>
      </c>
      <c r="AN52" s="296"/>
      <c r="AO52" s="270"/>
      <c r="AP52" s="368" t="s">
        <v>80</v>
      </c>
      <c r="AQ52" s="369"/>
      <c r="AR52" s="369"/>
      <c r="AS52" s="369"/>
      <c r="AT52" s="369"/>
      <c r="AU52" s="369"/>
      <c r="AV52" s="370"/>
      <c r="AW52" s="262" t="s">
        <v>484</v>
      </c>
      <c r="AX52" s="174"/>
      <c r="AY52" s="174"/>
    </row>
    <row r="53" spans="1:51" ht="28" x14ac:dyDescent="0.15">
      <c r="A53" s="275"/>
      <c r="B53" s="289" t="s">
        <v>490</v>
      </c>
      <c r="C53" s="244" t="s">
        <v>354</v>
      </c>
      <c r="D53" s="297" t="s">
        <v>489</v>
      </c>
      <c r="E53" s="289" t="s">
        <v>490</v>
      </c>
      <c r="F53" s="247" t="s">
        <v>470</v>
      </c>
      <c r="G53" s="297" t="s">
        <v>489</v>
      </c>
      <c r="H53" s="289" t="s">
        <v>490</v>
      </c>
      <c r="I53" s="243" t="s">
        <v>349</v>
      </c>
      <c r="J53" s="297" t="s">
        <v>489</v>
      </c>
      <c r="K53" s="289" t="s">
        <v>490</v>
      </c>
      <c r="L53" s="243" t="s">
        <v>351</v>
      </c>
      <c r="M53" s="297" t="s">
        <v>489</v>
      </c>
      <c r="N53" s="289" t="s">
        <v>490</v>
      </c>
      <c r="O53" s="244" t="s">
        <v>355</v>
      </c>
      <c r="P53" s="297" t="s">
        <v>489</v>
      </c>
      <c r="Q53" s="289" t="s">
        <v>490</v>
      </c>
      <c r="R53" s="243" t="s">
        <v>462</v>
      </c>
      <c r="S53" s="297" t="s">
        <v>489</v>
      </c>
      <c r="T53" s="289" t="s">
        <v>490</v>
      </c>
      <c r="U53" s="245" t="s">
        <v>471</v>
      </c>
      <c r="V53" s="297" t="s">
        <v>489</v>
      </c>
      <c r="W53" s="289" t="s">
        <v>490</v>
      </c>
      <c r="X53" s="246" t="s">
        <v>472</v>
      </c>
      <c r="Y53" s="297" t="s">
        <v>489</v>
      </c>
      <c r="Z53" s="289" t="s">
        <v>490</v>
      </c>
      <c r="AA53" s="245" t="s">
        <v>473</v>
      </c>
      <c r="AB53" s="297" t="s">
        <v>489</v>
      </c>
      <c r="AC53" s="289" t="s">
        <v>490</v>
      </c>
      <c r="AD53" s="243" t="s">
        <v>350</v>
      </c>
      <c r="AE53" s="297" t="s">
        <v>489</v>
      </c>
      <c r="AF53" s="289" t="s">
        <v>490</v>
      </c>
      <c r="AG53" s="244" t="s">
        <v>356</v>
      </c>
      <c r="AH53" s="297" t="s">
        <v>489</v>
      </c>
      <c r="AI53" s="289" t="s">
        <v>490</v>
      </c>
      <c r="AJ53" s="243" t="s">
        <v>59</v>
      </c>
      <c r="AK53" s="297" t="s">
        <v>489</v>
      </c>
      <c r="AL53" s="289" t="s">
        <v>490</v>
      </c>
      <c r="AM53" s="242" t="s">
        <v>332</v>
      </c>
      <c r="AN53" s="297" t="s">
        <v>489</v>
      </c>
      <c r="AO53" s="312" t="s">
        <v>490</v>
      </c>
      <c r="AP53" s="241"/>
      <c r="AQ53" s="312" t="s">
        <v>489</v>
      </c>
      <c r="AR53" s="312" t="s">
        <v>490</v>
      </c>
      <c r="AS53" s="241" t="s">
        <v>357</v>
      </c>
      <c r="AT53" s="312" t="s">
        <v>489</v>
      </c>
      <c r="AU53" s="312" t="s">
        <v>490</v>
      </c>
      <c r="AV53" s="240"/>
      <c r="AW53" s="263"/>
      <c r="AX53" s="130"/>
      <c r="AY53" s="130"/>
    </row>
    <row r="54" spans="1:51" ht="13" x14ac:dyDescent="0.15">
      <c r="A54" s="276" t="s">
        <v>370</v>
      </c>
      <c r="B54" s="279"/>
      <c r="C54" s="176">
        <f>COUNTA(C55:C84)</f>
        <v>13</v>
      </c>
      <c r="D54" s="280"/>
      <c r="E54" s="279"/>
      <c r="F54" s="176">
        <f>COUNTA(F55:F84)</f>
        <v>19</v>
      </c>
      <c r="G54" s="280" t="s">
        <v>494</v>
      </c>
      <c r="H54" s="279"/>
      <c r="I54" s="176">
        <f>COUNTA(I55:I84)</f>
        <v>13</v>
      </c>
      <c r="J54" s="283" t="s">
        <v>530</v>
      </c>
      <c r="K54" s="279"/>
      <c r="L54" s="176">
        <f>COUNTA(L55:L84)</f>
        <v>16</v>
      </c>
      <c r="M54" s="283" t="s">
        <v>495</v>
      </c>
      <c r="N54" s="279"/>
      <c r="O54" s="176">
        <f>COUNTA(O55:O84)</f>
        <v>17</v>
      </c>
      <c r="P54" s="280"/>
      <c r="Q54" s="279"/>
      <c r="R54" s="176">
        <f>COUNTA(R55:R77)</f>
        <v>19</v>
      </c>
      <c r="S54" s="283" t="s">
        <v>530</v>
      </c>
      <c r="T54" s="279"/>
      <c r="U54" s="176">
        <f>COUNTA(U55:U70)</f>
        <v>16</v>
      </c>
      <c r="V54" s="280"/>
      <c r="W54" s="279"/>
      <c r="X54" s="176">
        <f>COUNTA(X55:X84)</f>
        <v>20</v>
      </c>
      <c r="Y54" s="283" t="s">
        <v>530</v>
      </c>
      <c r="Z54" s="279"/>
      <c r="AA54" s="176">
        <f>COUNTA(AA55:AA77)</f>
        <v>18</v>
      </c>
      <c r="AB54" s="280"/>
      <c r="AC54" s="328" t="s">
        <v>494</v>
      </c>
      <c r="AD54" s="176">
        <f>COUNTA(AD55:AD84)</f>
        <v>12</v>
      </c>
      <c r="AE54" s="283" t="s">
        <v>530</v>
      </c>
      <c r="AF54" s="279"/>
      <c r="AG54" s="176">
        <f>COUNTA(AG55:AG84)</f>
        <v>4</v>
      </c>
      <c r="AH54" s="280"/>
      <c r="AI54" s="279"/>
      <c r="AJ54" s="176">
        <f>COUNTA(AJ55:AJ84)</f>
        <v>16</v>
      </c>
      <c r="AK54" s="283" t="s">
        <v>530</v>
      </c>
      <c r="AL54" s="279" t="s">
        <v>494</v>
      </c>
      <c r="AM54" s="176">
        <f>COUNTA(AM55:AM77)</f>
        <v>1</v>
      </c>
      <c r="AN54" s="280"/>
      <c r="AO54" s="277"/>
      <c r="AP54" s="363">
        <f>COUNTA(AP55:AV84)</f>
        <v>71</v>
      </c>
      <c r="AQ54" s="364"/>
      <c r="AR54" s="364"/>
      <c r="AS54" s="364"/>
      <c r="AT54" s="364"/>
      <c r="AU54" s="364"/>
      <c r="AV54" s="365"/>
      <c r="AW54" s="264"/>
    </row>
    <row r="55" spans="1:51" ht="13" x14ac:dyDescent="0.15">
      <c r="A55" s="273"/>
      <c r="B55" s="292"/>
      <c r="C55" s="220" t="s">
        <v>296</v>
      </c>
      <c r="D55" s="298"/>
      <c r="E55" s="323" t="s">
        <v>495</v>
      </c>
      <c r="F55" s="322" t="s">
        <v>505</v>
      </c>
      <c r="G55" s="298" t="s">
        <v>494</v>
      </c>
      <c r="H55" s="290" t="s">
        <v>495</v>
      </c>
      <c r="I55" s="220" t="s">
        <v>556</v>
      </c>
      <c r="J55" s="298"/>
      <c r="K55" s="290" t="s">
        <v>495</v>
      </c>
      <c r="L55" s="220" t="s">
        <v>587</v>
      </c>
      <c r="M55" s="298" t="s">
        <v>495</v>
      </c>
      <c r="N55" s="292"/>
      <c r="O55" s="220" t="s">
        <v>295</v>
      </c>
      <c r="P55" s="298"/>
      <c r="Q55" s="290" t="s">
        <v>495</v>
      </c>
      <c r="R55" s="236" t="s">
        <v>540</v>
      </c>
      <c r="S55" s="298"/>
      <c r="T55" s="292"/>
      <c r="U55" s="220" t="s">
        <v>290</v>
      </c>
      <c r="V55" s="298"/>
      <c r="W55" s="290" t="s">
        <v>495</v>
      </c>
      <c r="X55" s="221" t="s">
        <v>607</v>
      </c>
      <c r="Y55" s="298"/>
      <c r="Z55" s="292"/>
      <c r="AA55" s="221" t="s">
        <v>155</v>
      </c>
      <c r="AB55" s="298"/>
      <c r="AC55" s="291" t="s">
        <v>494</v>
      </c>
      <c r="AD55" s="220" t="s">
        <v>568</v>
      </c>
      <c r="AE55" s="298"/>
      <c r="AF55" s="292"/>
      <c r="AG55" s="221" t="s">
        <v>147</v>
      </c>
      <c r="AH55" s="298"/>
      <c r="AI55" s="290" t="s">
        <v>495</v>
      </c>
      <c r="AJ55" s="236" t="s">
        <v>522</v>
      </c>
      <c r="AK55" s="298"/>
      <c r="AL55" s="292" t="s">
        <v>494</v>
      </c>
      <c r="AM55" s="239" t="s">
        <v>172</v>
      </c>
      <c r="AN55" s="298"/>
      <c r="AO55" s="302"/>
      <c r="AP55" s="220" t="s">
        <v>290</v>
      </c>
      <c r="AQ55" s="294"/>
      <c r="AR55" s="294"/>
      <c r="AS55" s="221" t="s">
        <v>126</v>
      </c>
      <c r="AT55" s="294"/>
      <c r="AU55" s="294"/>
      <c r="AV55" s="221" t="s">
        <v>235</v>
      </c>
      <c r="AW55" s="264"/>
    </row>
    <row r="56" spans="1:51" ht="13" x14ac:dyDescent="0.15">
      <c r="A56" s="273"/>
      <c r="B56" s="292"/>
      <c r="C56" s="237" t="s">
        <v>287</v>
      </c>
      <c r="D56" s="298"/>
      <c r="E56" s="323" t="s">
        <v>495</v>
      </c>
      <c r="F56" s="322" t="s">
        <v>506</v>
      </c>
      <c r="G56" s="298" t="s">
        <v>494</v>
      </c>
      <c r="H56" s="290" t="s">
        <v>495</v>
      </c>
      <c r="I56" s="220" t="s">
        <v>559</v>
      </c>
      <c r="J56" s="298"/>
      <c r="K56" s="290" t="s">
        <v>495</v>
      </c>
      <c r="L56" s="220" t="s">
        <v>588</v>
      </c>
      <c r="M56" s="298" t="s">
        <v>495</v>
      </c>
      <c r="N56" s="292"/>
      <c r="O56" s="237" t="s">
        <v>286</v>
      </c>
      <c r="P56" s="298"/>
      <c r="Q56" s="290" t="s">
        <v>495</v>
      </c>
      <c r="R56" s="221" t="s">
        <v>543</v>
      </c>
      <c r="S56" s="298"/>
      <c r="T56" s="292"/>
      <c r="U56" s="221" t="s">
        <v>134</v>
      </c>
      <c r="V56" s="298"/>
      <c r="W56" s="290" t="s">
        <v>495</v>
      </c>
      <c r="X56" s="236" t="s">
        <v>604</v>
      </c>
      <c r="Y56" s="298"/>
      <c r="Z56" s="292"/>
      <c r="AA56" s="221" t="s">
        <v>152</v>
      </c>
      <c r="AB56" s="298"/>
      <c r="AC56" s="291" t="s">
        <v>494</v>
      </c>
      <c r="AD56" s="220" t="s">
        <v>561</v>
      </c>
      <c r="AE56" s="298"/>
      <c r="AF56" s="292"/>
      <c r="AG56" s="221" t="s">
        <v>121</v>
      </c>
      <c r="AH56" s="298"/>
      <c r="AI56" s="290" t="s">
        <v>495</v>
      </c>
      <c r="AJ56" s="220" t="s">
        <v>515</v>
      </c>
      <c r="AK56" s="298"/>
      <c r="AL56" s="292"/>
      <c r="AM56" s="177"/>
      <c r="AN56" s="298"/>
      <c r="AO56" s="302"/>
      <c r="AP56" s="236" t="s">
        <v>522</v>
      </c>
      <c r="AQ56" s="294"/>
      <c r="AR56" s="294"/>
      <c r="AS56" s="221" t="s">
        <v>139</v>
      </c>
      <c r="AT56" s="294"/>
      <c r="AU56" s="294"/>
      <c r="AV56" s="220" t="s">
        <v>226</v>
      </c>
      <c r="AW56" s="263"/>
    </row>
    <row r="57" spans="1:51" ht="13" x14ac:dyDescent="0.15">
      <c r="A57" s="273"/>
      <c r="B57" s="292"/>
      <c r="C57" s="220" t="s">
        <v>280</v>
      </c>
      <c r="D57" s="298"/>
      <c r="E57" s="290" t="s">
        <v>495</v>
      </c>
      <c r="F57" s="220" t="s">
        <v>498</v>
      </c>
      <c r="G57" s="298" t="s">
        <v>494</v>
      </c>
      <c r="H57" s="290" t="s">
        <v>495</v>
      </c>
      <c r="I57" s="237" t="s">
        <v>229</v>
      </c>
      <c r="J57" s="298"/>
      <c r="K57" s="290" t="s">
        <v>495</v>
      </c>
      <c r="L57" s="220" t="s">
        <v>580</v>
      </c>
      <c r="M57" s="298" t="s">
        <v>495</v>
      </c>
      <c r="N57" s="292"/>
      <c r="O57" s="220" t="s">
        <v>279</v>
      </c>
      <c r="P57" s="298"/>
      <c r="Q57" s="290" t="s">
        <v>495</v>
      </c>
      <c r="R57" s="236" t="s">
        <v>603</v>
      </c>
      <c r="S57" s="298"/>
      <c r="T57" s="292"/>
      <c r="U57" s="220" t="s">
        <v>276</v>
      </c>
      <c r="V57" s="298"/>
      <c r="W57" s="290" t="s">
        <v>495</v>
      </c>
      <c r="X57" s="236" t="s">
        <v>545</v>
      </c>
      <c r="Y57" s="298"/>
      <c r="Z57" s="292"/>
      <c r="AA57" s="220" t="s">
        <v>274</v>
      </c>
      <c r="AB57" s="298"/>
      <c r="AC57" s="291" t="s">
        <v>494</v>
      </c>
      <c r="AD57" s="221" t="s">
        <v>569</v>
      </c>
      <c r="AE57" s="298"/>
      <c r="AF57" s="292"/>
      <c r="AG57" s="221" t="s">
        <v>92</v>
      </c>
      <c r="AH57" s="298"/>
      <c r="AI57" s="290" t="s">
        <v>495</v>
      </c>
      <c r="AJ57" s="220" t="s">
        <v>523</v>
      </c>
      <c r="AK57" s="298"/>
      <c r="AL57" s="292"/>
      <c r="AM57" s="177"/>
      <c r="AN57" s="298"/>
      <c r="AO57" s="302"/>
      <c r="AP57" s="220" t="s">
        <v>276</v>
      </c>
      <c r="AQ57" s="294"/>
      <c r="AR57" s="294"/>
      <c r="AS57" s="238" t="s">
        <v>177</v>
      </c>
      <c r="AT57" s="294"/>
      <c r="AU57" s="294"/>
      <c r="AV57" s="220" t="s">
        <v>218</v>
      </c>
      <c r="AW57" s="264"/>
    </row>
    <row r="58" spans="1:51" ht="13" x14ac:dyDescent="0.15">
      <c r="A58" s="273"/>
      <c r="B58" s="292"/>
      <c r="C58" s="237" t="s">
        <v>271</v>
      </c>
      <c r="D58" s="298"/>
      <c r="E58" s="290" t="s">
        <v>495</v>
      </c>
      <c r="F58" s="220" t="s">
        <v>501</v>
      </c>
      <c r="G58" s="298" t="s">
        <v>494</v>
      </c>
      <c r="H58" s="290" t="s">
        <v>495</v>
      </c>
      <c r="I58" s="221" t="s">
        <v>599</v>
      </c>
      <c r="J58" s="298"/>
      <c r="K58" s="290" t="s">
        <v>495</v>
      </c>
      <c r="L58" s="220" t="s">
        <v>589</v>
      </c>
      <c r="M58" s="298" t="s">
        <v>495</v>
      </c>
      <c r="N58" s="292"/>
      <c r="O58" s="220" t="s">
        <v>270</v>
      </c>
      <c r="P58" s="298"/>
      <c r="Q58" s="290" t="s">
        <v>495</v>
      </c>
      <c r="R58" s="236" t="s">
        <v>605</v>
      </c>
      <c r="S58" s="298"/>
      <c r="T58" s="292"/>
      <c r="U58" s="220" t="s">
        <v>266</v>
      </c>
      <c r="V58" s="298"/>
      <c r="W58" s="290" t="s">
        <v>495</v>
      </c>
      <c r="X58" s="221" t="s">
        <v>608</v>
      </c>
      <c r="Y58" s="298"/>
      <c r="Z58" s="292"/>
      <c r="AA58" s="220" t="s">
        <v>265</v>
      </c>
      <c r="AB58" s="298"/>
      <c r="AC58" s="291" t="s">
        <v>494</v>
      </c>
      <c r="AD58" s="236" t="s">
        <v>545</v>
      </c>
      <c r="AE58" s="298"/>
      <c r="AF58" s="292"/>
      <c r="AG58" s="220"/>
      <c r="AH58" s="298"/>
      <c r="AI58" s="290" t="s">
        <v>495</v>
      </c>
      <c r="AJ58" s="236" t="s">
        <v>526</v>
      </c>
      <c r="AK58" s="298"/>
      <c r="AL58" s="292"/>
      <c r="AM58" s="177"/>
      <c r="AN58" s="298"/>
      <c r="AO58" s="302"/>
      <c r="AP58" s="220" t="s">
        <v>266</v>
      </c>
      <c r="AQ58" s="294"/>
      <c r="AR58" s="294"/>
      <c r="AS58" s="221" t="s">
        <v>117</v>
      </c>
      <c r="AT58" s="294"/>
      <c r="AU58" s="294"/>
      <c r="AV58" s="220" t="s">
        <v>211</v>
      </c>
      <c r="AW58" s="264"/>
    </row>
    <row r="59" spans="1:51" ht="13" x14ac:dyDescent="0.15">
      <c r="A59" s="273"/>
      <c r="B59" s="292"/>
      <c r="C59" s="220" t="s">
        <v>262</v>
      </c>
      <c r="D59" s="298"/>
      <c r="E59" s="290" t="s">
        <v>495</v>
      </c>
      <c r="F59" s="220" t="s">
        <v>598</v>
      </c>
      <c r="G59" s="298" t="s">
        <v>494</v>
      </c>
      <c r="H59" s="291" t="s">
        <v>494</v>
      </c>
      <c r="I59" s="179" t="s">
        <v>600</v>
      </c>
      <c r="J59" s="298"/>
      <c r="K59" s="290" t="s">
        <v>495</v>
      </c>
      <c r="L59" s="220" t="s">
        <v>581</v>
      </c>
      <c r="M59" s="298" t="s">
        <v>495</v>
      </c>
      <c r="N59" s="292"/>
      <c r="O59" s="236" t="s">
        <v>156</v>
      </c>
      <c r="P59" s="298"/>
      <c r="Q59" s="290" t="s">
        <v>495</v>
      </c>
      <c r="R59" s="220" t="s">
        <v>536</v>
      </c>
      <c r="S59" s="298"/>
      <c r="T59" s="292"/>
      <c r="U59" s="220" t="s">
        <v>257</v>
      </c>
      <c r="V59" s="298"/>
      <c r="W59" s="290" t="s">
        <v>495</v>
      </c>
      <c r="X59" s="221" t="s">
        <v>558</v>
      </c>
      <c r="Y59" s="298"/>
      <c r="Z59" s="292"/>
      <c r="AA59" s="220" t="s">
        <v>256</v>
      </c>
      <c r="AB59" s="298"/>
      <c r="AC59" s="291" t="s">
        <v>494</v>
      </c>
      <c r="AD59" s="220" t="s">
        <v>562</v>
      </c>
      <c r="AE59" s="298"/>
      <c r="AF59" s="292"/>
      <c r="AG59" s="235" t="s">
        <v>175</v>
      </c>
      <c r="AH59" s="298"/>
      <c r="AI59" s="290" t="s">
        <v>495</v>
      </c>
      <c r="AJ59" s="220" t="s">
        <v>518</v>
      </c>
      <c r="AK59" s="298"/>
      <c r="AL59" s="292"/>
      <c r="AM59" s="177"/>
      <c r="AN59" s="298"/>
      <c r="AO59" s="302"/>
      <c r="AP59" s="220" t="s">
        <v>257</v>
      </c>
      <c r="AQ59" s="294"/>
      <c r="AR59" s="294"/>
      <c r="AS59" s="221" t="s">
        <v>115</v>
      </c>
      <c r="AT59" s="294"/>
      <c r="AU59" s="294"/>
      <c r="AV59" s="220" t="s">
        <v>205</v>
      </c>
      <c r="AW59" s="264"/>
    </row>
    <row r="60" spans="1:51" ht="13" x14ac:dyDescent="0.15">
      <c r="A60" s="273"/>
      <c r="B60" s="292"/>
      <c r="C60" s="221" t="s">
        <v>145</v>
      </c>
      <c r="D60" s="298"/>
      <c r="E60" s="323" t="s">
        <v>495</v>
      </c>
      <c r="F60" s="322" t="s">
        <v>507</v>
      </c>
      <c r="G60" s="298" t="s">
        <v>494</v>
      </c>
      <c r="H60" s="291" t="s">
        <v>494</v>
      </c>
      <c r="I60" s="221" t="s">
        <v>531</v>
      </c>
      <c r="J60" s="298"/>
      <c r="K60" s="290" t="s">
        <v>495</v>
      </c>
      <c r="L60" s="220" t="s">
        <v>591</v>
      </c>
      <c r="M60" s="298" t="s">
        <v>495</v>
      </c>
      <c r="N60" s="292"/>
      <c r="O60" s="220" t="s">
        <v>252</v>
      </c>
      <c r="P60" s="298"/>
      <c r="Q60" s="290" t="s">
        <v>495</v>
      </c>
      <c r="R60" s="236" t="s">
        <v>537</v>
      </c>
      <c r="S60" s="298"/>
      <c r="T60" s="292"/>
      <c r="U60" s="220" t="s">
        <v>247</v>
      </c>
      <c r="V60" s="298"/>
      <c r="W60" s="290" t="s">
        <v>495</v>
      </c>
      <c r="X60" s="236" t="s">
        <v>537</v>
      </c>
      <c r="Y60" s="298"/>
      <c r="Z60" s="292"/>
      <c r="AA60" s="220" t="s">
        <v>246</v>
      </c>
      <c r="AB60" s="298"/>
      <c r="AC60" s="291" t="s">
        <v>494</v>
      </c>
      <c r="AD60" s="220" t="s">
        <v>571</v>
      </c>
      <c r="AE60" s="298"/>
      <c r="AF60" s="292"/>
      <c r="AG60" s="220"/>
      <c r="AH60" s="298"/>
      <c r="AI60" s="290" t="s">
        <v>495</v>
      </c>
      <c r="AJ60" s="220" t="s">
        <v>519</v>
      </c>
      <c r="AK60" s="298"/>
      <c r="AL60" s="292"/>
      <c r="AM60" s="178"/>
      <c r="AN60" s="298"/>
      <c r="AO60" s="302"/>
      <c r="AP60" s="220" t="s">
        <v>247</v>
      </c>
      <c r="AQ60" s="294"/>
      <c r="AR60" s="294"/>
      <c r="AS60" s="238" t="s">
        <v>171</v>
      </c>
      <c r="AT60" s="294"/>
      <c r="AU60" s="294"/>
      <c r="AV60" s="220" t="s">
        <v>198</v>
      </c>
      <c r="AW60" s="263"/>
    </row>
    <row r="61" spans="1:51" ht="13" x14ac:dyDescent="0.15">
      <c r="A61" s="273"/>
      <c r="B61" s="292"/>
      <c r="C61" s="220" t="s">
        <v>242</v>
      </c>
      <c r="D61" s="298"/>
      <c r="E61" s="323" t="s">
        <v>495</v>
      </c>
      <c r="F61" s="322" t="s">
        <v>512</v>
      </c>
      <c r="G61" s="298" t="s">
        <v>494</v>
      </c>
      <c r="H61" s="291" t="s">
        <v>494</v>
      </c>
      <c r="I61" s="220" t="s">
        <v>551</v>
      </c>
      <c r="J61" s="298"/>
      <c r="K61" s="290" t="s">
        <v>495</v>
      </c>
      <c r="L61" s="220" t="s">
        <v>592</v>
      </c>
      <c r="M61" s="298" t="s">
        <v>495</v>
      </c>
      <c r="N61" s="292"/>
      <c r="O61" s="220" t="s">
        <v>241</v>
      </c>
      <c r="P61" s="298"/>
      <c r="Q61" s="290" t="s">
        <v>495</v>
      </c>
      <c r="R61" s="236" t="s">
        <v>538</v>
      </c>
      <c r="S61" s="298"/>
      <c r="T61" s="292"/>
      <c r="U61" s="220" t="s">
        <v>237</v>
      </c>
      <c r="V61" s="298"/>
      <c r="W61" s="290" t="s">
        <v>495</v>
      </c>
      <c r="X61" s="221" t="s">
        <v>610</v>
      </c>
      <c r="Y61" s="298"/>
      <c r="Z61" s="292"/>
      <c r="AA61" s="220" t="s">
        <v>236</v>
      </c>
      <c r="AB61" s="298"/>
      <c r="AC61" s="291" t="s">
        <v>494</v>
      </c>
      <c r="AD61" s="220" t="s">
        <v>572</v>
      </c>
      <c r="AE61" s="298"/>
      <c r="AF61" s="292"/>
      <c r="AG61" s="220"/>
      <c r="AH61" s="298"/>
      <c r="AI61" s="290" t="s">
        <v>495</v>
      </c>
      <c r="AJ61" s="220" t="s">
        <v>520</v>
      </c>
      <c r="AK61" s="298"/>
      <c r="AL61" s="292"/>
      <c r="AM61" s="177"/>
      <c r="AN61" s="298"/>
      <c r="AO61" s="302"/>
      <c r="AP61" s="220" t="s">
        <v>237</v>
      </c>
      <c r="AQ61" s="294"/>
      <c r="AR61" s="294"/>
      <c r="AS61" s="221" t="s">
        <v>155</v>
      </c>
      <c r="AT61" s="294"/>
      <c r="AU61" s="294"/>
      <c r="AV61" s="220" t="s">
        <v>193</v>
      </c>
      <c r="AW61" s="264"/>
    </row>
    <row r="62" spans="1:51" ht="13" x14ac:dyDescent="0.15">
      <c r="A62" s="273"/>
      <c r="B62" s="292"/>
      <c r="C62" s="220" t="s">
        <v>232</v>
      </c>
      <c r="D62" s="298"/>
      <c r="E62" s="290" t="s">
        <v>495</v>
      </c>
      <c r="F62" s="220" t="s">
        <v>504</v>
      </c>
      <c r="G62" s="298" t="s">
        <v>494</v>
      </c>
      <c r="H62" s="291" t="s">
        <v>494</v>
      </c>
      <c r="I62" s="220" t="s">
        <v>552</v>
      </c>
      <c r="J62" s="298"/>
      <c r="K62" s="290" t="s">
        <v>495</v>
      </c>
      <c r="L62" s="220" t="s">
        <v>593</v>
      </c>
      <c r="M62" s="298" t="s">
        <v>495</v>
      </c>
      <c r="N62" s="292"/>
      <c r="O62" s="220" t="s">
        <v>231</v>
      </c>
      <c r="P62" s="298"/>
      <c r="Q62" s="290" t="s">
        <v>495</v>
      </c>
      <c r="R62" s="221" t="s">
        <v>539</v>
      </c>
      <c r="S62" s="298"/>
      <c r="T62" s="292"/>
      <c r="U62" s="220" t="s">
        <v>228</v>
      </c>
      <c r="V62" s="298"/>
      <c r="W62" s="290" t="s">
        <v>495</v>
      </c>
      <c r="X62" s="236" t="s">
        <v>548</v>
      </c>
      <c r="Y62" s="298"/>
      <c r="Z62" s="292"/>
      <c r="AA62" s="220" t="s">
        <v>227</v>
      </c>
      <c r="AB62" s="298"/>
      <c r="AC62" s="291" t="s">
        <v>494</v>
      </c>
      <c r="AD62" s="221" t="s">
        <v>563</v>
      </c>
      <c r="AE62" s="298"/>
      <c r="AF62" s="292"/>
      <c r="AG62" s="221"/>
      <c r="AH62" s="298"/>
      <c r="AI62" s="290" t="s">
        <v>495</v>
      </c>
      <c r="AJ62" s="236" t="s">
        <v>611</v>
      </c>
      <c r="AK62" s="298"/>
      <c r="AL62" s="292"/>
      <c r="AM62" s="177"/>
      <c r="AN62" s="298"/>
      <c r="AO62" s="302"/>
      <c r="AP62" s="220" t="s">
        <v>228</v>
      </c>
      <c r="AQ62" s="294"/>
      <c r="AR62" s="294"/>
      <c r="AS62" s="221" t="s">
        <v>152</v>
      </c>
      <c r="AT62" s="294"/>
      <c r="AU62" s="294"/>
      <c r="AV62" s="221" t="s">
        <v>104</v>
      </c>
      <c r="AW62" s="264"/>
    </row>
    <row r="63" spans="1:51" ht="13" x14ac:dyDescent="0.15">
      <c r="A63" s="273"/>
      <c r="B63" s="292"/>
      <c r="C63" s="237" t="s">
        <v>223</v>
      </c>
      <c r="D63" s="298"/>
      <c r="E63" s="291" t="s">
        <v>494</v>
      </c>
      <c r="F63" s="220" t="s">
        <v>496</v>
      </c>
      <c r="G63" s="298" t="s">
        <v>494</v>
      </c>
      <c r="H63" s="291" t="s">
        <v>494</v>
      </c>
      <c r="I63" s="220" t="s">
        <v>557</v>
      </c>
      <c r="J63" s="298"/>
      <c r="K63" s="290" t="s">
        <v>495</v>
      </c>
      <c r="L63" s="220" t="s">
        <v>594</v>
      </c>
      <c r="M63" s="298" t="s">
        <v>495</v>
      </c>
      <c r="N63" s="292"/>
      <c r="O63" s="236" t="s">
        <v>141</v>
      </c>
      <c r="P63" s="298"/>
      <c r="Q63" s="290" t="s">
        <v>495</v>
      </c>
      <c r="R63" s="236" t="s">
        <v>548</v>
      </c>
      <c r="S63" s="298"/>
      <c r="T63" s="292"/>
      <c r="U63" s="236" t="s">
        <v>156</v>
      </c>
      <c r="V63" s="298"/>
      <c r="W63" s="290" t="s">
        <v>495</v>
      </c>
      <c r="X63" s="221" t="s">
        <v>601</v>
      </c>
      <c r="Y63" s="298"/>
      <c r="Z63" s="292"/>
      <c r="AA63" s="220" t="s">
        <v>219</v>
      </c>
      <c r="AB63" s="298"/>
      <c r="AC63" s="291" t="s">
        <v>494</v>
      </c>
      <c r="AD63" s="221" t="s">
        <v>564</v>
      </c>
      <c r="AE63" s="298"/>
      <c r="AF63" s="292"/>
      <c r="AG63" s="221"/>
      <c r="AH63" s="298"/>
      <c r="AI63" s="324" t="s">
        <v>494</v>
      </c>
      <c r="AJ63" s="220" t="s">
        <v>514</v>
      </c>
      <c r="AK63" s="298"/>
      <c r="AL63" s="292"/>
      <c r="AM63" s="177"/>
      <c r="AN63" s="298"/>
      <c r="AO63" s="302"/>
      <c r="AP63" s="236" t="s">
        <v>526</v>
      </c>
      <c r="AQ63" s="294"/>
      <c r="AR63" s="294"/>
      <c r="AS63" s="220" t="s">
        <v>274</v>
      </c>
      <c r="AT63" s="294"/>
      <c r="AU63" s="294"/>
      <c r="AV63" s="220" t="s">
        <v>184</v>
      </c>
      <c r="AW63" s="264"/>
    </row>
    <row r="64" spans="1:51" ht="13" x14ac:dyDescent="0.15">
      <c r="A64" s="273"/>
      <c r="B64" s="292"/>
      <c r="C64" s="237" t="s">
        <v>216</v>
      </c>
      <c r="D64" s="298"/>
      <c r="E64" s="291" t="s">
        <v>494</v>
      </c>
      <c r="F64" s="220" t="s">
        <v>500</v>
      </c>
      <c r="G64" s="298" t="s">
        <v>494</v>
      </c>
      <c r="H64" s="291" t="s">
        <v>494</v>
      </c>
      <c r="I64" s="221" t="s">
        <v>558</v>
      </c>
      <c r="J64" s="298"/>
      <c r="K64" s="291" t="s">
        <v>494</v>
      </c>
      <c r="L64" s="220" t="s">
        <v>590</v>
      </c>
      <c r="M64" s="298" t="s">
        <v>495</v>
      </c>
      <c r="N64" s="292"/>
      <c r="O64" s="236" t="s">
        <v>146</v>
      </c>
      <c r="P64" s="298"/>
      <c r="Q64" s="291" t="s">
        <v>494</v>
      </c>
      <c r="R64" s="220" t="s">
        <v>542</v>
      </c>
      <c r="S64" s="298"/>
      <c r="T64" s="292"/>
      <c r="U64" s="220" t="s">
        <v>213</v>
      </c>
      <c r="V64" s="298"/>
      <c r="W64" s="291" t="s">
        <v>494</v>
      </c>
      <c r="X64" s="221" t="s">
        <v>606</v>
      </c>
      <c r="Y64" s="298"/>
      <c r="Z64" s="292"/>
      <c r="AA64" s="220" t="s">
        <v>212</v>
      </c>
      <c r="AB64" s="298"/>
      <c r="AC64" s="291" t="s">
        <v>494</v>
      </c>
      <c r="AD64" s="221" t="s">
        <v>565</v>
      </c>
      <c r="AE64" s="298"/>
      <c r="AF64" s="292"/>
      <c r="AG64" s="221"/>
      <c r="AH64" s="298"/>
      <c r="AI64" s="324" t="s">
        <v>494</v>
      </c>
      <c r="AJ64" s="220" t="s">
        <v>516</v>
      </c>
      <c r="AK64" s="298"/>
      <c r="AL64" s="292"/>
      <c r="AM64" s="178"/>
      <c r="AN64" s="298"/>
      <c r="AO64" s="302"/>
      <c r="AP64" s="220" t="s">
        <v>213</v>
      </c>
      <c r="AQ64" s="294"/>
      <c r="AR64" s="294"/>
      <c r="AS64" s="220" t="s">
        <v>265</v>
      </c>
      <c r="AT64" s="294"/>
      <c r="AU64" s="294"/>
      <c r="AV64" s="220" t="s">
        <v>179</v>
      </c>
      <c r="AW64" s="264"/>
    </row>
    <row r="65" spans="1:49" ht="13" x14ac:dyDescent="0.15">
      <c r="A65" s="273"/>
      <c r="B65" s="292"/>
      <c r="C65" s="220" t="s">
        <v>210</v>
      </c>
      <c r="D65" s="298"/>
      <c r="E65" s="291" t="s">
        <v>494</v>
      </c>
      <c r="F65" s="220" t="s">
        <v>497</v>
      </c>
      <c r="G65" s="298" t="s">
        <v>494</v>
      </c>
      <c r="H65" s="291" t="s">
        <v>494</v>
      </c>
      <c r="I65" s="221" t="s">
        <v>601</v>
      </c>
      <c r="J65" s="298"/>
      <c r="K65" s="291" t="s">
        <v>494</v>
      </c>
      <c r="L65" s="220" t="s">
        <v>582</v>
      </c>
      <c r="M65" s="298" t="s">
        <v>495</v>
      </c>
      <c r="N65" s="292"/>
      <c r="O65" s="236" t="s">
        <v>153</v>
      </c>
      <c r="P65" s="298"/>
      <c r="Q65" s="291" t="s">
        <v>494</v>
      </c>
      <c r="R65" s="236" t="s">
        <v>531</v>
      </c>
      <c r="S65" s="298"/>
      <c r="T65" s="292"/>
      <c r="U65" s="236" t="s">
        <v>141</v>
      </c>
      <c r="V65" s="298"/>
      <c r="W65" s="291" t="s">
        <v>494</v>
      </c>
      <c r="X65" s="236" t="s">
        <v>540</v>
      </c>
      <c r="Y65" s="298"/>
      <c r="Z65" s="292"/>
      <c r="AA65" s="220" t="s">
        <v>206</v>
      </c>
      <c r="AB65" s="298"/>
      <c r="AC65" s="291" t="s">
        <v>494</v>
      </c>
      <c r="AD65" s="221" t="s">
        <v>566</v>
      </c>
      <c r="AE65" s="298"/>
      <c r="AF65" s="292"/>
      <c r="AG65" s="221"/>
      <c r="AH65" s="298"/>
      <c r="AI65" s="324" t="s">
        <v>494</v>
      </c>
      <c r="AJ65" s="220" t="s">
        <v>524</v>
      </c>
      <c r="AK65" s="298"/>
      <c r="AL65" s="292"/>
      <c r="AM65" s="178"/>
      <c r="AN65" s="298"/>
      <c r="AO65" s="302"/>
      <c r="AP65" s="221" t="s">
        <v>141</v>
      </c>
      <c r="AQ65" s="294"/>
      <c r="AR65" s="294"/>
      <c r="AS65" s="220" t="s">
        <v>256</v>
      </c>
      <c r="AT65" s="294"/>
      <c r="AU65" s="294"/>
      <c r="AV65" s="220"/>
      <c r="AW65" s="263"/>
    </row>
    <row r="66" spans="1:49" ht="13" x14ac:dyDescent="0.15">
      <c r="A66" s="273"/>
      <c r="B66" s="292"/>
      <c r="C66" s="220" t="s">
        <v>204</v>
      </c>
      <c r="D66" s="298"/>
      <c r="E66" s="324" t="s">
        <v>494</v>
      </c>
      <c r="F66" s="237" t="s">
        <v>272</v>
      </c>
      <c r="G66" s="298" t="s">
        <v>494</v>
      </c>
      <c r="H66" s="291" t="s">
        <v>494</v>
      </c>
      <c r="I66" s="220" t="s">
        <v>555</v>
      </c>
      <c r="J66" s="298"/>
      <c r="K66" s="291" t="s">
        <v>494</v>
      </c>
      <c r="L66" s="220" t="s">
        <v>583</v>
      </c>
      <c r="M66" s="298" t="s">
        <v>495</v>
      </c>
      <c r="N66" s="292"/>
      <c r="O66" s="237" t="s">
        <v>203</v>
      </c>
      <c r="P66" s="298"/>
      <c r="Q66" s="291" t="s">
        <v>494</v>
      </c>
      <c r="R66" s="236" t="s">
        <v>604</v>
      </c>
      <c r="S66" s="298"/>
      <c r="T66" s="292"/>
      <c r="U66" s="220" t="s">
        <v>200</v>
      </c>
      <c r="V66" s="298"/>
      <c r="W66" s="291" t="s">
        <v>494</v>
      </c>
      <c r="X66" s="236" t="s">
        <v>531</v>
      </c>
      <c r="Y66" s="298"/>
      <c r="Z66" s="292"/>
      <c r="AA66" s="221" t="s">
        <v>145</v>
      </c>
      <c r="AB66" s="298"/>
      <c r="AC66" s="291" t="s">
        <v>494</v>
      </c>
      <c r="AD66" s="221" t="s">
        <v>567</v>
      </c>
      <c r="AE66" s="298"/>
      <c r="AF66" s="292"/>
      <c r="AG66" s="221"/>
      <c r="AH66" s="298"/>
      <c r="AI66" s="324" t="s">
        <v>494</v>
      </c>
      <c r="AJ66" s="221" t="s">
        <v>517</v>
      </c>
      <c r="AK66" s="298"/>
      <c r="AL66" s="292"/>
      <c r="AM66" s="177"/>
      <c r="AN66" s="298"/>
      <c r="AO66" s="302"/>
      <c r="AP66" s="220" t="s">
        <v>200</v>
      </c>
      <c r="AQ66" s="294"/>
      <c r="AR66" s="294"/>
      <c r="AS66" s="220" t="s">
        <v>246</v>
      </c>
      <c r="AT66" s="294"/>
      <c r="AU66" s="294"/>
      <c r="AV66" s="235" t="s">
        <v>170</v>
      </c>
      <c r="AW66" s="264"/>
    </row>
    <row r="67" spans="1:49" ht="13" x14ac:dyDescent="0.15">
      <c r="A67" s="273"/>
      <c r="B67" s="292"/>
      <c r="C67" s="220"/>
      <c r="D67" s="298"/>
      <c r="E67" s="291" t="s">
        <v>494</v>
      </c>
      <c r="F67" s="220" t="s">
        <v>499</v>
      </c>
      <c r="G67" s="298" t="s">
        <v>494</v>
      </c>
      <c r="H67" s="291" t="s">
        <v>494</v>
      </c>
      <c r="I67" s="221" t="s">
        <v>602</v>
      </c>
      <c r="J67" s="298"/>
      <c r="K67" s="291" t="s">
        <v>494</v>
      </c>
      <c r="L67" s="220" t="s">
        <v>584</v>
      </c>
      <c r="M67" s="298" t="s">
        <v>495</v>
      </c>
      <c r="N67" s="292"/>
      <c r="O67" s="237" t="s">
        <v>197</v>
      </c>
      <c r="P67" s="298"/>
      <c r="Q67" s="291" t="s">
        <v>494</v>
      </c>
      <c r="R67" s="236" t="s">
        <v>545</v>
      </c>
      <c r="S67" s="298"/>
      <c r="T67" s="292"/>
      <c r="U67" s="236" t="s">
        <v>146</v>
      </c>
      <c r="V67" s="298"/>
      <c r="W67" s="291" t="s">
        <v>494</v>
      </c>
      <c r="X67" s="236" t="s">
        <v>603</v>
      </c>
      <c r="Y67" s="298"/>
      <c r="Z67" s="292"/>
      <c r="AA67" s="220" t="s">
        <v>194</v>
      </c>
      <c r="AB67" s="298"/>
      <c r="AC67" s="292"/>
      <c r="AD67" s="220"/>
      <c r="AE67" s="298"/>
      <c r="AF67" s="292"/>
      <c r="AG67" s="221"/>
      <c r="AH67" s="298"/>
      <c r="AI67" s="324" t="s">
        <v>494</v>
      </c>
      <c r="AJ67" s="220" t="s">
        <v>525</v>
      </c>
      <c r="AK67" s="298"/>
      <c r="AL67" s="292"/>
      <c r="AM67" s="177"/>
      <c r="AN67" s="298"/>
      <c r="AO67" s="302"/>
      <c r="AP67" s="221" t="s">
        <v>146</v>
      </c>
      <c r="AQ67" s="294"/>
      <c r="AR67" s="294"/>
      <c r="AS67" s="220" t="s">
        <v>236</v>
      </c>
      <c r="AT67" s="294"/>
      <c r="AU67" s="294"/>
      <c r="AV67" s="177"/>
      <c r="AW67" s="264"/>
    </row>
    <row r="68" spans="1:49" ht="13" x14ac:dyDescent="0.15">
      <c r="A68" s="273"/>
      <c r="B68" s="292"/>
      <c r="C68" s="235" t="s">
        <v>175</v>
      </c>
      <c r="D68" s="298"/>
      <c r="E68" s="324" t="s">
        <v>494</v>
      </c>
      <c r="F68" s="322" t="s">
        <v>510</v>
      </c>
      <c r="G68" s="298" t="s">
        <v>494</v>
      </c>
      <c r="H68" s="292"/>
      <c r="I68" s="220"/>
      <c r="J68" s="298"/>
      <c r="K68" s="291" t="s">
        <v>494</v>
      </c>
      <c r="L68" s="220" t="s">
        <v>585</v>
      </c>
      <c r="M68" s="298" t="s">
        <v>495</v>
      </c>
      <c r="N68" s="292"/>
      <c r="O68" s="220" t="s">
        <v>192</v>
      </c>
      <c r="P68" s="298"/>
      <c r="Q68" s="291" t="s">
        <v>494</v>
      </c>
      <c r="R68" s="221" t="s">
        <v>533</v>
      </c>
      <c r="S68" s="298"/>
      <c r="T68" s="292"/>
      <c r="U68" s="220" t="s">
        <v>188</v>
      </c>
      <c r="V68" s="298"/>
      <c r="W68" s="291" t="s">
        <v>494</v>
      </c>
      <c r="X68" s="236" t="s">
        <v>546</v>
      </c>
      <c r="Y68" s="298"/>
      <c r="Z68" s="292"/>
      <c r="AA68" s="220" t="s">
        <v>187</v>
      </c>
      <c r="AB68" s="298"/>
      <c r="AC68" s="292"/>
      <c r="AD68" s="178"/>
      <c r="AE68" s="298"/>
      <c r="AF68" s="292"/>
      <c r="AG68" s="220"/>
      <c r="AH68" s="298"/>
      <c r="AI68" s="324" t="s">
        <v>494</v>
      </c>
      <c r="AJ68" s="220" t="s">
        <v>527</v>
      </c>
      <c r="AK68" s="298"/>
      <c r="AL68" s="292"/>
      <c r="AM68" s="177"/>
      <c r="AN68" s="298"/>
      <c r="AO68" s="302"/>
      <c r="AP68" s="220" t="s">
        <v>188</v>
      </c>
      <c r="AQ68" s="294"/>
      <c r="AR68" s="294"/>
      <c r="AS68" s="220" t="s">
        <v>227</v>
      </c>
      <c r="AT68" s="294"/>
      <c r="AU68" s="294"/>
      <c r="AV68" s="177"/>
      <c r="AW68" s="264"/>
    </row>
    <row r="69" spans="1:49" ht="13" x14ac:dyDescent="0.15">
      <c r="A69" s="273"/>
      <c r="B69" s="292"/>
      <c r="C69" s="220"/>
      <c r="D69" s="298"/>
      <c r="E69" s="291" t="s">
        <v>494</v>
      </c>
      <c r="F69" s="220" t="s">
        <v>503</v>
      </c>
      <c r="G69" s="298" t="s">
        <v>494</v>
      </c>
      <c r="H69" s="292"/>
      <c r="I69" s="220"/>
      <c r="J69" s="298"/>
      <c r="K69" s="291" t="s">
        <v>494</v>
      </c>
      <c r="L69" s="221" t="s">
        <v>586</v>
      </c>
      <c r="M69" s="298" t="s">
        <v>495</v>
      </c>
      <c r="N69" s="292"/>
      <c r="O69" s="221" t="s">
        <v>136</v>
      </c>
      <c r="P69" s="298"/>
      <c r="Q69" s="291" t="s">
        <v>494</v>
      </c>
      <c r="R69" s="236" t="s">
        <v>546</v>
      </c>
      <c r="S69" s="298"/>
      <c r="T69" s="292"/>
      <c r="U69" s="236" t="s">
        <v>153</v>
      </c>
      <c r="V69" s="298"/>
      <c r="W69" s="291" t="s">
        <v>494</v>
      </c>
      <c r="X69" s="236" t="s">
        <v>534</v>
      </c>
      <c r="Y69" s="298"/>
      <c r="Z69" s="292"/>
      <c r="AA69" s="220" t="s">
        <v>185</v>
      </c>
      <c r="AB69" s="298"/>
      <c r="AC69" s="292"/>
      <c r="AD69" s="184"/>
      <c r="AE69" s="298"/>
      <c r="AF69" s="292"/>
      <c r="AG69" s="220"/>
      <c r="AH69" s="298"/>
      <c r="AI69" s="324" t="s">
        <v>494</v>
      </c>
      <c r="AJ69" s="220" t="s">
        <v>528</v>
      </c>
      <c r="AK69" s="298"/>
      <c r="AL69" s="292"/>
      <c r="AM69" s="178"/>
      <c r="AN69" s="298"/>
      <c r="AO69" s="302"/>
      <c r="AP69" s="236" t="s">
        <v>611</v>
      </c>
      <c r="AQ69" s="294"/>
      <c r="AR69" s="294"/>
      <c r="AS69" s="220" t="s">
        <v>219</v>
      </c>
      <c r="AT69" s="294"/>
      <c r="AU69" s="294"/>
      <c r="AV69" s="178"/>
      <c r="AW69" s="264"/>
    </row>
    <row r="70" spans="1:49" ht="14" thickBot="1" x14ac:dyDescent="0.2">
      <c r="A70" s="273"/>
      <c r="B70" s="292"/>
      <c r="C70" s="221"/>
      <c r="D70" s="298"/>
      <c r="E70" s="324" t="s">
        <v>494</v>
      </c>
      <c r="F70" s="322" t="s">
        <v>511</v>
      </c>
      <c r="G70" s="298" t="s">
        <v>494</v>
      </c>
      <c r="H70" s="292"/>
      <c r="I70" s="220"/>
      <c r="J70" s="298"/>
      <c r="K70" s="291" t="s">
        <v>494</v>
      </c>
      <c r="L70" s="221" t="s">
        <v>595</v>
      </c>
      <c r="M70" s="298" t="s">
        <v>495</v>
      </c>
      <c r="N70" s="292"/>
      <c r="O70" s="237" t="s">
        <v>183</v>
      </c>
      <c r="P70" s="298"/>
      <c r="Q70" s="291" t="s">
        <v>494</v>
      </c>
      <c r="R70" s="236" t="s">
        <v>534</v>
      </c>
      <c r="S70" s="298"/>
      <c r="T70" s="292"/>
      <c r="U70" s="221" t="s">
        <v>130</v>
      </c>
      <c r="V70" s="298"/>
      <c r="W70" s="291" t="s">
        <v>494</v>
      </c>
      <c r="X70" s="221" t="s">
        <v>609</v>
      </c>
      <c r="Y70" s="298"/>
      <c r="Z70" s="292"/>
      <c r="AA70" s="220" t="s">
        <v>180</v>
      </c>
      <c r="AB70" s="298"/>
      <c r="AC70" s="292"/>
      <c r="AD70" s="184"/>
      <c r="AE70" s="298"/>
      <c r="AF70" s="292"/>
      <c r="AG70" s="178"/>
      <c r="AH70" s="298"/>
      <c r="AI70" s="324" t="s">
        <v>494</v>
      </c>
      <c r="AJ70" s="220" t="s">
        <v>529</v>
      </c>
      <c r="AK70" s="298"/>
      <c r="AL70" s="292"/>
      <c r="AM70" s="178"/>
      <c r="AN70" s="298"/>
      <c r="AO70" s="302"/>
      <c r="AP70" s="221" t="s">
        <v>130</v>
      </c>
      <c r="AQ70" s="294"/>
      <c r="AR70" s="294"/>
      <c r="AS70" s="220" t="s">
        <v>212</v>
      </c>
      <c r="AT70" s="294"/>
      <c r="AU70" s="294"/>
      <c r="AV70" s="178"/>
      <c r="AW70" s="264"/>
    </row>
    <row r="71" spans="1:49" ht="14" thickBot="1" x14ac:dyDescent="0.2">
      <c r="A71" s="273"/>
      <c r="B71" s="292"/>
      <c r="C71" s="221"/>
      <c r="D71" s="298"/>
      <c r="E71" s="324" t="s">
        <v>494</v>
      </c>
      <c r="F71" s="322" t="s">
        <v>508</v>
      </c>
      <c r="G71" s="298" t="s">
        <v>494</v>
      </c>
      <c r="H71" s="292"/>
      <c r="I71" s="220"/>
      <c r="J71" s="298"/>
      <c r="K71" s="292"/>
      <c r="L71" s="220"/>
      <c r="M71" s="298"/>
      <c r="N71" s="292"/>
      <c r="O71" s="220"/>
      <c r="P71" s="298"/>
      <c r="Q71" s="291" t="s">
        <v>494</v>
      </c>
      <c r="R71" s="221" t="s">
        <v>535</v>
      </c>
      <c r="S71" s="298"/>
      <c r="T71" s="292"/>
      <c r="U71" s="187">
        <v>12</v>
      </c>
      <c r="V71" s="298"/>
      <c r="W71" s="291" t="s">
        <v>494</v>
      </c>
      <c r="X71" s="236" t="s">
        <v>605</v>
      </c>
      <c r="Y71" s="298"/>
      <c r="Z71" s="292"/>
      <c r="AA71" s="220" t="s">
        <v>176</v>
      </c>
      <c r="AB71" s="298"/>
      <c r="AC71" s="292"/>
      <c r="AD71" s="184"/>
      <c r="AE71" s="298"/>
      <c r="AF71" s="292"/>
      <c r="AG71" s="178"/>
      <c r="AH71" s="298"/>
      <c r="AI71" s="292"/>
      <c r="AJ71" s="220"/>
      <c r="AK71" s="298"/>
      <c r="AL71" s="292"/>
      <c r="AM71" s="177"/>
      <c r="AN71" s="298"/>
      <c r="AO71" s="302"/>
      <c r="AP71" s="221" t="s">
        <v>110</v>
      </c>
      <c r="AQ71" s="294"/>
      <c r="AR71" s="294"/>
      <c r="AS71" s="220" t="s">
        <v>206</v>
      </c>
      <c r="AT71" s="294"/>
      <c r="AU71" s="294"/>
      <c r="AV71" s="177"/>
      <c r="AW71" s="264"/>
    </row>
    <row r="72" spans="1:49" ht="14" thickBot="1" x14ac:dyDescent="0.2">
      <c r="A72" s="273"/>
      <c r="B72" s="292"/>
      <c r="C72" s="195"/>
      <c r="D72" s="298"/>
      <c r="E72" s="324" t="s">
        <v>494</v>
      </c>
      <c r="F72" s="322" t="s">
        <v>509</v>
      </c>
      <c r="G72" s="298" t="s">
        <v>494</v>
      </c>
      <c r="H72" s="292"/>
      <c r="I72" s="220"/>
      <c r="J72" s="298"/>
      <c r="K72" s="292"/>
      <c r="L72" s="220"/>
      <c r="M72" s="298"/>
      <c r="N72" s="292"/>
      <c r="O72" s="235" t="s">
        <v>175</v>
      </c>
      <c r="P72" s="298"/>
      <c r="Q72" s="291" t="s">
        <v>494</v>
      </c>
      <c r="R72" s="220" t="s">
        <v>549</v>
      </c>
      <c r="S72" s="298"/>
      <c r="T72" s="292"/>
      <c r="U72" s="190" t="s">
        <v>362</v>
      </c>
      <c r="V72" s="298"/>
      <c r="W72" s="291" t="s">
        <v>494</v>
      </c>
      <c r="X72" s="236" t="s">
        <v>538</v>
      </c>
      <c r="Y72" s="298"/>
      <c r="Z72" s="292"/>
      <c r="AA72" s="220" t="s">
        <v>173</v>
      </c>
      <c r="AB72" s="298"/>
      <c r="AC72" s="292"/>
      <c r="AD72" s="178"/>
      <c r="AE72" s="298"/>
      <c r="AF72" s="292"/>
      <c r="AG72" s="178"/>
      <c r="AH72" s="298"/>
      <c r="AI72" s="292"/>
      <c r="AJ72" s="178"/>
      <c r="AK72" s="298"/>
      <c r="AL72" s="292"/>
      <c r="AM72" s="178"/>
      <c r="AN72" s="298"/>
      <c r="AO72" s="302"/>
      <c r="AP72" s="220" t="s">
        <v>284</v>
      </c>
      <c r="AQ72" s="294"/>
      <c r="AR72" s="294"/>
      <c r="AS72" s="221" t="s">
        <v>145</v>
      </c>
      <c r="AT72" s="294"/>
      <c r="AU72" s="294"/>
      <c r="AV72" s="178"/>
      <c r="AW72" s="264"/>
    </row>
    <row r="73" spans="1:49" ht="13" x14ac:dyDescent="0.15">
      <c r="A73" s="273"/>
      <c r="B73" s="292"/>
      <c r="C73" s="195"/>
      <c r="D73" s="298"/>
      <c r="E73" s="324" t="s">
        <v>494</v>
      </c>
      <c r="F73" s="322" t="s">
        <v>513</v>
      </c>
      <c r="G73" s="298" t="s">
        <v>494</v>
      </c>
      <c r="H73" s="292"/>
      <c r="I73" s="220"/>
      <c r="J73" s="298"/>
      <c r="K73" s="292"/>
      <c r="L73" s="220"/>
      <c r="M73" s="298"/>
      <c r="N73" s="292"/>
      <c r="O73" s="220"/>
      <c r="P73" s="298"/>
      <c r="Q73" s="325"/>
      <c r="R73" s="221" t="s">
        <v>541</v>
      </c>
      <c r="S73" s="298"/>
      <c r="T73" s="292"/>
      <c r="U73" s="224" t="s">
        <v>100</v>
      </c>
      <c r="V73" s="298"/>
      <c r="W73" s="291" t="s">
        <v>494</v>
      </c>
      <c r="X73" s="239" t="s">
        <v>553</v>
      </c>
      <c r="Y73" s="298"/>
      <c r="Z73" s="292"/>
      <c r="AA73" s="177"/>
      <c r="AB73" s="298"/>
      <c r="AC73" s="292"/>
      <c r="AD73" s="178"/>
      <c r="AE73" s="298"/>
      <c r="AF73" s="292"/>
      <c r="AG73" s="178"/>
      <c r="AH73" s="298"/>
      <c r="AI73" s="292"/>
      <c r="AJ73" s="178"/>
      <c r="AK73" s="298"/>
      <c r="AL73" s="292"/>
      <c r="AM73" s="178"/>
      <c r="AN73" s="298"/>
      <c r="AO73" s="302"/>
      <c r="AP73" s="220" t="s">
        <v>275</v>
      </c>
      <c r="AQ73" s="294"/>
      <c r="AR73" s="294"/>
      <c r="AS73" s="220" t="s">
        <v>194</v>
      </c>
      <c r="AT73" s="294"/>
      <c r="AU73" s="294"/>
      <c r="AV73" s="178"/>
      <c r="AW73" s="265"/>
    </row>
    <row r="74" spans="1:49" ht="14" x14ac:dyDescent="0.15">
      <c r="A74" s="273"/>
      <c r="B74" s="292"/>
      <c r="C74" s="195"/>
      <c r="D74" s="298"/>
      <c r="E74" s="292"/>
      <c r="F74" s="184"/>
      <c r="G74" s="298"/>
      <c r="H74" s="292"/>
      <c r="I74" s="186"/>
      <c r="J74" s="298"/>
      <c r="K74" s="292"/>
      <c r="L74" s="220"/>
      <c r="M74" s="298"/>
      <c r="N74" s="292"/>
      <c r="O74" s="220"/>
      <c r="P74" s="298"/>
      <c r="Q74" s="292"/>
      <c r="R74" s="234"/>
      <c r="S74" s="298"/>
      <c r="T74" s="292"/>
      <c r="U74" s="229" t="s">
        <v>120</v>
      </c>
      <c r="V74" s="298"/>
      <c r="W74" s="291" t="s">
        <v>494</v>
      </c>
      <c r="X74" s="221" t="s">
        <v>602</v>
      </c>
      <c r="Y74" s="298"/>
      <c r="Z74" s="292"/>
      <c r="AA74" s="178"/>
      <c r="AB74" s="298"/>
      <c r="AC74" s="292"/>
      <c r="AD74" s="185"/>
      <c r="AE74" s="298"/>
      <c r="AF74" s="292"/>
      <c r="AG74" s="178"/>
      <c r="AH74" s="298"/>
      <c r="AI74" s="292"/>
      <c r="AJ74" s="185"/>
      <c r="AK74" s="298"/>
      <c r="AL74" s="292"/>
      <c r="AM74" s="177"/>
      <c r="AN74" s="298"/>
      <c r="AO74" s="302"/>
      <c r="AP74" s="221" t="s">
        <v>109</v>
      </c>
      <c r="AQ74" s="294"/>
      <c r="AR74" s="294"/>
      <c r="AS74" s="220" t="s">
        <v>187</v>
      </c>
      <c r="AT74" s="294"/>
      <c r="AU74" s="294"/>
      <c r="AV74" s="177"/>
      <c r="AW74" s="266"/>
    </row>
    <row r="75" spans="1:49" ht="14" x14ac:dyDescent="0.15">
      <c r="A75" s="273"/>
      <c r="B75" s="292"/>
      <c r="C75" s="195"/>
      <c r="D75" s="298"/>
      <c r="E75" s="292"/>
      <c r="F75" s="184"/>
      <c r="G75" s="298"/>
      <c r="H75" s="292"/>
      <c r="I75" s="178"/>
      <c r="J75" s="298"/>
      <c r="K75" s="292"/>
      <c r="L75" s="232"/>
      <c r="M75" s="298"/>
      <c r="N75" s="292"/>
      <c r="O75" s="178"/>
      <c r="P75" s="298"/>
      <c r="Q75" s="292"/>
      <c r="R75" s="234"/>
      <c r="S75" s="298"/>
      <c r="T75" s="292"/>
      <c r="U75" s="229" t="s">
        <v>127</v>
      </c>
      <c r="V75" s="298"/>
      <c r="W75" s="292"/>
      <c r="X75" s="233"/>
      <c r="Y75" s="298"/>
      <c r="Z75" s="292"/>
      <c r="AA75" s="186"/>
      <c r="AB75" s="298"/>
      <c r="AC75" s="292"/>
      <c r="AD75" s="184"/>
      <c r="AE75" s="298"/>
      <c r="AF75" s="292"/>
      <c r="AG75" s="188"/>
      <c r="AH75" s="298"/>
      <c r="AI75" s="292"/>
      <c r="AJ75" s="178"/>
      <c r="AK75" s="298"/>
      <c r="AL75" s="292"/>
      <c r="AM75" s="189"/>
      <c r="AN75" s="298"/>
      <c r="AO75" s="302"/>
      <c r="AP75" s="221" t="s">
        <v>127</v>
      </c>
      <c r="AQ75" s="294"/>
      <c r="AR75" s="294"/>
      <c r="AS75" s="220" t="s">
        <v>185</v>
      </c>
      <c r="AT75" s="294"/>
      <c r="AU75" s="294"/>
      <c r="AV75" s="189"/>
      <c r="AW75" s="267"/>
    </row>
    <row r="76" spans="1:49" ht="13" x14ac:dyDescent="0.15">
      <c r="A76" s="273"/>
      <c r="B76" s="292"/>
      <c r="C76" s="201"/>
      <c r="D76" s="298"/>
      <c r="E76" s="292"/>
      <c r="F76" s="145"/>
      <c r="G76" s="298"/>
      <c r="H76" s="292"/>
      <c r="I76" s="189"/>
      <c r="J76" s="298"/>
      <c r="K76" s="292"/>
      <c r="L76" s="232"/>
      <c r="M76" s="298"/>
      <c r="N76" s="292"/>
      <c r="O76" s="178"/>
      <c r="P76" s="298"/>
      <c r="Q76" s="292"/>
      <c r="R76" s="234"/>
      <c r="S76" s="298"/>
      <c r="T76" s="292"/>
      <c r="U76" s="224" t="s">
        <v>98</v>
      </c>
      <c r="V76" s="298"/>
      <c r="W76" s="292"/>
      <c r="X76" s="233"/>
      <c r="Y76" s="298"/>
      <c r="Z76" s="292"/>
      <c r="AA76" s="186"/>
      <c r="AB76" s="298"/>
      <c r="AC76" s="292"/>
      <c r="AD76" s="178"/>
      <c r="AE76" s="298"/>
      <c r="AF76" s="292"/>
      <c r="AG76" s="178"/>
      <c r="AH76" s="298"/>
      <c r="AI76" s="292"/>
      <c r="AJ76" s="185"/>
      <c r="AK76" s="298"/>
      <c r="AL76" s="292"/>
      <c r="AM76" s="189"/>
      <c r="AN76" s="298"/>
      <c r="AO76" s="302"/>
      <c r="AP76" s="221" t="s">
        <v>122</v>
      </c>
      <c r="AQ76" s="294"/>
      <c r="AR76" s="294"/>
      <c r="AS76" s="220" t="s">
        <v>180</v>
      </c>
      <c r="AT76" s="294"/>
      <c r="AU76" s="294"/>
      <c r="AV76" s="189"/>
      <c r="AW76" s="265"/>
    </row>
    <row r="77" spans="1:49" thickBot="1" x14ac:dyDescent="0.2">
      <c r="A77" s="273"/>
      <c r="B77" s="292"/>
      <c r="C77" s="195"/>
      <c r="D77" s="298"/>
      <c r="E77" s="292"/>
      <c r="F77" s="147"/>
      <c r="G77" s="298"/>
      <c r="H77" s="292"/>
      <c r="I77" s="189"/>
      <c r="J77" s="298"/>
      <c r="K77" s="292"/>
      <c r="L77" s="232"/>
      <c r="M77" s="298"/>
      <c r="N77" s="292"/>
      <c r="O77" s="178"/>
      <c r="P77" s="298"/>
      <c r="Q77" s="292"/>
      <c r="R77" s="231"/>
      <c r="S77" s="298"/>
      <c r="T77" s="292"/>
      <c r="U77" s="229" t="s">
        <v>138</v>
      </c>
      <c r="V77" s="298"/>
      <c r="W77" s="292"/>
      <c r="X77" s="230"/>
      <c r="Y77" s="298"/>
      <c r="Z77" s="292"/>
      <c r="AA77" s="186"/>
      <c r="AB77" s="298"/>
      <c r="AC77" s="292"/>
      <c r="AD77" s="178"/>
      <c r="AE77" s="298"/>
      <c r="AF77" s="292"/>
      <c r="AG77" s="188"/>
      <c r="AH77" s="298"/>
      <c r="AI77" s="292"/>
      <c r="AJ77" s="178"/>
      <c r="AK77" s="298"/>
      <c r="AL77" s="292"/>
      <c r="AM77" s="178"/>
      <c r="AN77" s="298"/>
      <c r="AO77" s="302"/>
      <c r="AP77" s="221" t="s">
        <v>138</v>
      </c>
      <c r="AQ77" s="294"/>
      <c r="AR77" s="294"/>
      <c r="AS77" s="220" t="s">
        <v>176</v>
      </c>
      <c r="AT77" s="294"/>
      <c r="AU77" s="294"/>
      <c r="AV77" s="191"/>
      <c r="AW77" s="265"/>
    </row>
    <row r="78" spans="1:49" ht="14" thickBot="1" x14ac:dyDescent="0.2">
      <c r="A78" s="273"/>
      <c r="B78" s="292"/>
      <c r="C78" s="195"/>
      <c r="D78" s="298"/>
      <c r="E78" s="292"/>
      <c r="F78" s="147"/>
      <c r="G78" s="298"/>
      <c r="H78" s="292"/>
      <c r="I78" s="178"/>
      <c r="J78" s="298"/>
      <c r="K78" s="292"/>
      <c r="L78" s="178"/>
      <c r="M78" s="298"/>
      <c r="N78" s="292"/>
      <c r="O78" s="178"/>
      <c r="P78" s="298"/>
      <c r="Q78" s="292"/>
      <c r="R78" s="187">
        <v>4</v>
      </c>
      <c r="S78" s="326"/>
      <c r="T78" s="292"/>
      <c r="U78" s="224" t="s">
        <v>96</v>
      </c>
      <c r="V78" s="298"/>
      <c r="W78" s="292"/>
      <c r="X78" s="228"/>
      <c r="Y78" s="298"/>
      <c r="Z78" s="292"/>
      <c r="AA78" s="187">
        <v>1</v>
      </c>
      <c r="AB78" s="298"/>
      <c r="AC78" s="292"/>
      <c r="AD78" s="227"/>
      <c r="AE78" s="298"/>
      <c r="AF78" s="292"/>
      <c r="AG78" s="186"/>
      <c r="AH78" s="298"/>
      <c r="AI78" s="292"/>
      <c r="AJ78" s="186"/>
      <c r="AK78" s="298"/>
      <c r="AL78" s="292"/>
      <c r="AM78" s="187">
        <v>3</v>
      </c>
      <c r="AN78" s="298"/>
      <c r="AO78" s="302"/>
      <c r="AP78" s="221" t="s">
        <v>106</v>
      </c>
      <c r="AQ78" s="294"/>
      <c r="AR78" s="294"/>
      <c r="AS78" s="220" t="s">
        <v>173</v>
      </c>
      <c r="AT78" s="294"/>
      <c r="AU78" s="294"/>
      <c r="AV78" s="191"/>
      <c r="AW78" s="266"/>
    </row>
    <row r="79" spans="1:49" ht="14" thickBot="1" x14ac:dyDescent="0.2">
      <c r="A79" s="273"/>
      <c r="B79" s="292"/>
      <c r="C79" s="195"/>
      <c r="D79" s="298"/>
      <c r="E79" s="292"/>
      <c r="F79" s="196"/>
      <c r="G79" s="298"/>
      <c r="H79" s="292"/>
      <c r="I79" s="178"/>
      <c r="J79" s="298"/>
      <c r="K79" s="292"/>
      <c r="L79" s="178"/>
      <c r="M79" s="298"/>
      <c r="N79" s="292"/>
      <c r="O79" s="178"/>
      <c r="P79" s="298"/>
      <c r="Q79" s="292"/>
      <c r="R79" s="190" t="s">
        <v>362</v>
      </c>
      <c r="S79" s="326"/>
      <c r="T79" s="292"/>
      <c r="U79" s="224" t="s">
        <v>154</v>
      </c>
      <c r="V79" s="298"/>
      <c r="W79" s="292"/>
      <c r="X79" s="228"/>
      <c r="Y79" s="298"/>
      <c r="Z79" s="292"/>
      <c r="AA79" s="190" t="s">
        <v>362</v>
      </c>
      <c r="AB79" s="298"/>
      <c r="AC79" s="292"/>
      <c r="AD79" s="227"/>
      <c r="AE79" s="298"/>
      <c r="AF79" s="292"/>
      <c r="AG79" s="186"/>
      <c r="AH79" s="298"/>
      <c r="AI79" s="292"/>
      <c r="AJ79" s="186"/>
      <c r="AK79" s="298"/>
      <c r="AL79" s="292"/>
      <c r="AM79" s="190" t="s">
        <v>362</v>
      </c>
      <c r="AN79" s="298"/>
      <c r="AO79" s="302"/>
      <c r="AP79" s="221" t="s">
        <v>154</v>
      </c>
      <c r="AQ79" s="294"/>
      <c r="AR79" s="294"/>
      <c r="AS79" s="221" t="s">
        <v>101</v>
      </c>
      <c r="AT79" s="294"/>
      <c r="AU79" s="294"/>
      <c r="AV79" s="191"/>
      <c r="AW79" s="267"/>
    </row>
    <row r="80" spans="1:49" ht="14" thickBot="1" x14ac:dyDescent="0.2">
      <c r="A80" s="186"/>
      <c r="B80" s="279"/>
      <c r="C80" s="195"/>
      <c r="D80" s="280"/>
      <c r="E80" s="279"/>
      <c r="F80" s="197"/>
      <c r="G80" s="280"/>
      <c r="H80" s="279"/>
      <c r="I80" s="178"/>
      <c r="J80" s="280"/>
      <c r="K80" s="279"/>
      <c r="L80" s="178"/>
      <c r="M80" s="280"/>
      <c r="N80" s="279"/>
      <c r="O80" s="178"/>
      <c r="P80" s="280"/>
      <c r="Q80" s="279"/>
      <c r="R80" s="225" t="s">
        <v>156</v>
      </c>
      <c r="S80" s="327"/>
      <c r="T80" s="279"/>
      <c r="U80" s="224" t="s">
        <v>94</v>
      </c>
      <c r="V80" s="280"/>
      <c r="W80" s="279"/>
      <c r="X80" s="188"/>
      <c r="Y80" s="280"/>
      <c r="Z80" s="279"/>
      <c r="AA80" s="226" t="s">
        <v>138</v>
      </c>
      <c r="AB80" s="280"/>
      <c r="AC80" s="279"/>
      <c r="AD80" s="189"/>
      <c r="AE80" s="280"/>
      <c r="AF80" s="279"/>
      <c r="AG80" s="178"/>
      <c r="AH80" s="280"/>
      <c r="AI80" s="279"/>
      <c r="AJ80" s="178"/>
      <c r="AK80" s="280"/>
      <c r="AL80" s="279"/>
      <c r="AM80" s="225" t="s">
        <v>134</v>
      </c>
      <c r="AN80" s="280"/>
      <c r="AO80" s="277"/>
      <c r="AP80" s="221" t="s">
        <v>102</v>
      </c>
      <c r="AQ80" s="144"/>
      <c r="AR80" s="144"/>
      <c r="AS80" s="220" t="s">
        <v>283</v>
      </c>
      <c r="AT80" s="144"/>
      <c r="AU80" s="144"/>
      <c r="AV80" s="177"/>
      <c r="AW80" s="267"/>
    </row>
    <row r="81" spans="1:49" ht="13" x14ac:dyDescent="0.15">
      <c r="A81" s="186"/>
      <c r="B81" s="279"/>
      <c r="C81" s="195"/>
      <c r="D81" s="280"/>
      <c r="E81" s="279"/>
      <c r="F81" s="146"/>
      <c r="G81" s="280"/>
      <c r="H81" s="279"/>
      <c r="I81" s="178"/>
      <c r="J81" s="280"/>
      <c r="K81" s="279"/>
      <c r="L81" s="178"/>
      <c r="M81" s="280"/>
      <c r="N81" s="279"/>
      <c r="O81" s="178"/>
      <c r="P81" s="280"/>
      <c r="Q81" s="279"/>
      <c r="R81" s="224" t="s">
        <v>141</v>
      </c>
      <c r="S81" s="327"/>
      <c r="T81" s="279"/>
      <c r="U81" s="224" t="s">
        <v>126</v>
      </c>
      <c r="V81" s="280"/>
      <c r="W81" s="279"/>
      <c r="X81" s="189"/>
      <c r="Y81" s="280"/>
      <c r="Z81" s="279"/>
      <c r="AA81" s="192"/>
      <c r="AB81" s="280"/>
      <c r="AC81" s="279"/>
      <c r="AD81" s="178"/>
      <c r="AE81" s="280"/>
      <c r="AF81" s="279"/>
      <c r="AG81" s="178"/>
      <c r="AH81" s="280"/>
      <c r="AI81" s="279"/>
      <c r="AJ81" s="178"/>
      <c r="AK81" s="280"/>
      <c r="AL81" s="279"/>
      <c r="AM81" s="224" t="s">
        <v>156</v>
      </c>
      <c r="AN81" s="280"/>
      <c r="AO81" s="277"/>
      <c r="AP81" s="220" t="s">
        <v>207</v>
      </c>
      <c r="AQ81" s="144"/>
      <c r="AR81" s="144"/>
      <c r="AS81" s="221" t="s">
        <v>128</v>
      </c>
      <c r="AT81" s="144"/>
      <c r="AU81" s="144"/>
      <c r="AV81" s="177"/>
      <c r="AW81" s="263"/>
    </row>
    <row r="82" spans="1:49" ht="14" thickBot="1" x14ac:dyDescent="0.2">
      <c r="A82" s="186"/>
      <c r="B82" s="279"/>
      <c r="C82" s="178"/>
      <c r="D82" s="280"/>
      <c r="E82" s="279"/>
      <c r="F82" s="178"/>
      <c r="G82" s="280"/>
      <c r="H82" s="279"/>
      <c r="I82" s="178"/>
      <c r="J82" s="280"/>
      <c r="K82" s="279"/>
      <c r="L82" s="178"/>
      <c r="M82" s="280"/>
      <c r="N82" s="279"/>
      <c r="O82" s="178"/>
      <c r="P82" s="280"/>
      <c r="Q82" s="279"/>
      <c r="R82" s="224" t="s">
        <v>146</v>
      </c>
      <c r="S82" s="327"/>
      <c r="T82" s="279"/>
      <c r="U82" s="224" t="s">
        <v>139</v>
      </c>
      <c r="V82" s="280"/>
      <c r="W82" s="279"/>
      <c r="X82" s="189"/>
      <c r="Y82" s="280"/>
      <c r="Z82" s="279"/>
      <c r="AA82" s="178"/>
      <c r="AB82" s="280"/>
      <c r="AC82" s="279"/>
      <c r="AD82" s="185"/>
      <c r="AE82" s="280"/>
      <c r="AF82" s="279"/>
      <c r="AG82" s="178"/>
      <c r="AH82" s="280"/>
      <c r="AI82" s="279"/>
      <c r="AJ82" s="178"/>
      <c r="AK82" s="280"/>
      <c r="AL82" s="279"/>
      <c r="AM82" s="198" t="s">
        <v>153</v>
      </c>
      <c r="AN82" s="280"/>
      <c r="AO82" s="277"/>
      <c r="AP82" s="220" t="s">
        <v>199</v>
      </c>
      <c r="AQ82" s="144"/>
      <c r="AR82" s="144"/>
      <c r="AS82" s="221" t="s">
        <v>99</v>
      </c>
      <c r="AT82" s="144"/>
      <c r="AU82" s="144"/>
      <c r="AV82" s="177"/>
      <c r="AW82" s="263"/>
    </row>
    <row r="83" spans="1:49" ht="14" thickBot="1" x14ac:dyDescent="0.2">
      <c r="A83" s="186"/>
      <c r="B83" s="279"/>
      <c r="C83" s="178"/>
      <c r="D83" s="280"/>
      <c r="E83" s="279"/>
      <c r="F83" s="178"/>
      <c r="G83" s="280"/>
      <c r="H83" s="279"/>
      <c r="I83" s="178"/>
      <c r="J83" s="280"/>
      <c r="K83" s="279"/>
      <c r="L83" s="178"/>
      <c r="M83" s="280"/>
      <c r="N83" s="279"/>
      <c r="O83" s="178"/>
      <c r="P83" s="280"/>
      <c r="Q83" s="279"/>
      <c r="R83" s="198" t="s">
        <v>153</v>
      </c>
      <c r="S83" s="327"/>
      <c r="T83" s="279"/>
      <c r="U83" s="224" t="s">
        <v>178</v>
      </c>
      <c r="V83" s="280"/>
      <c r="W83" s="279"/>
      <c r="X83" s="189"/>
      <c r="Y83" s="280"/>
      <c r="Z83" s="279"/>
      <c r="AA83" s="178"/>
      <c r="AB83" s="280"/>
      <c r="AC83" s="279"/>
      <c r="AD83" s="178"/>
      <c r="AE83" s="280"/>
      <c r="AF83" s="279"/>
      <c r="AG83" s="178"/>
      <c r="AH83" s="280"/>
      <c r="AI83" s="279"/>
      <c r="AJ83" s="178"/>
      <c r="AK83" s="280"/>
      <c r="AL83" s="279"/>
      <c r="AM83" s="178"/>
      <c r="AN83" s="280"/>
      <c r="AO83" s="277"/>
      <c r="AP83" s="221" t="s">
        <v>119</v>
      </c>
      <c r="AQ83" s="144"/>
      <c r="AR83" s="144"/>
      <c r="AS83" s="220" t="s">
        <v>255</v>
      </c>
      <c r="AT83" s="144"/>
      <c r="AU83" s="144"/>
      <c r="AV83" s="223"/>
      <c r="AW83" s="263"/>
    </row>
    <row r="84" spans="1:49" thickBot="1" x14ac:dyDescent="0.2">
      <c r="A84" s="186"/>
      <c r="B84" s="279"/>
      <c r="C84" s="178"/>
      <c r="D84" s="280"/>
      <c r="E84" s="279"/>
      <c r="F84" s="178"/>
      <c r="G84" s="280"/>
      <c r="H84" s="279"/>
      <c r="I84" s="178"/>
      <c r="J84" s="280"/>
      <c r="K84" s="279"/>
      <c r="L84" s="178"/>
      <c r="M84" s="280"/>
      <c r="N84" s="279"/>
      <c r="O84" s="178"/>
      <c r="P84" s="280"/>
      <c r="Q84" s="279"/>
      <c r="R84" s="186"/>
      <c r="S84" s="280"/>
      <c r="T84" s="279"/>
      <c r="U84" s="222" t="s">
        <v>133</v>
      </c>
      <c r="V84" s="280"/>
      <c r="W84" s="279"/>
      <c r="X84" s="189"/>
      <c r="Y84" s="280"/>
      <c r="Z84" s="279"/>
      <c r="AA84" s="178"/>
      <c r="AB84" s="280"/>
      <c r="AC84" s="279"/>
      <c r="AD84" s="178"/>
      <c r="AE84" s="280"/>
      <c r="AF84" s="279"/>
      <c r="AG84" s="178"/>
      <c r="AH84" s="280"/>
      <c r="AI84" s="279"/>
      <c r="AJ84" s="178"/>
      <c r="AK84" s="280"/>
      <c r="AL84" s="279"/>
      <c r="AM84" s="178"/>
      <c r="AN84" s="280"/>
      <c r="AO84" s="277"/>
      <c r="AP84" s="221" t="s">
        <v>95</v>
      </c>
      <c r="AQ84" s="144"/>
      <c r="AR84" s="144"/>
      <c r="AS84" s="220" t="s">
        <v>245</v>
      </c>
      <c r="AT84" s="144"/>
      <c r="AU84" s="144"/>
      <c r="AV84" s="178"/>
      <c r="AW84" s="260"/>
    </row>
    <row r="85" spans="1:49" ht="13" x14ac:dyDescent="0.15">
      <c r="A85" s="186"/>
      <c r="B85" s="279"/>
      <c r="C85" s="268" t="s">
        <v>485</v>
      </c>
      <c r="D85" s="298"/>
      <c r="E85" s="292"/>
      <c r="F85" s="268" t="s">
        <v>485</v>
      </c>
      <c r="G85" s="298"/>
      <c r="H85" s="292"/>
      <c r="I85" s="268" t="s">
        <v>485</v>
      </c>
      <c r="J85" s="298"/>
      <c r="K85" s="292"/>
      <c r="L85" s="268" t="s">
        <v>485</v>
      </c>
      <c r="M85" s="298"/>
      <c r="N85" s="292"/>
      <c r="O85" s="268" t="s">
        <v>485</v>
      </c>
      <c r="P85" s="298"/>
      <c r="Q85" s="292"/>
      <c r="R85" s="268" t="s">
        <v>485</v>
      </c>
      <c r="S85" s="298"/>
      <c r="T85" s="292"/>
      <c r="U85" s="268" t="s">
        <v>485</v>
      </c>
      <c r="V85" s="298"/>
      <c r="W85" s="292"/>
      <c r="X85" s="268" t="s">
        <v>485</v>
      </c>
      <c r="Y85" s="298"/>
      <c r="Z85" s="292"/>
      <c r="AA85" s="268" t="s">
        <v>485</v>
      </c>
      <c r="AB85" s="298"/>
      <c r="AC85" s="292"/>
      <c r="AD85" s="268" t="s">
        <v>485</v>
      </c>
      <c r="AE85" s="298"/>
      <c r="AF85" s="292"/>
      <c r="AG85" s="268" t="s">
        <v>485</v>
      </c>
      <c r="AH85" s="298"/>
      <c r="AI85" s="292"/>
      <c r="AJ85" s="268" t="s">
        <v>485</v>
      </c>
      <c r="AK85" s="298"/>
      <c r="AL85" s="292"/>
      <c r="AM85" s="268" t="s">
        <v>485</v>
      </c>
      <c r="AN85" s="298"/>
      <c r="AO85" s="302"/>
      <c r="AP85" s="268" t="s">
        <v>485</v>
      </c>
      <c r="AQ85" s="294"/>
      <c r="AR85" s="294"/>
      <c r="AS85" s="268" t="s">
        <v>485</v>
      </c>
      <c r="AT85" s="294"/>
      <c r="AU85" s="294"/>
      <c r="AV85" s="268" t="s">
        <v>485</v>
      </c>
      <c r="AW85" s="260"/>
    </row>
    <row r="86" spans="1:49" ht="14" thickBot="1" x14ac:dyDescent="0.2">
      <c r="A86" s="186"/>
      <c r="B86" s="310"/>
      <c r="C86" s="311"/>
      <c r="D86" s="299"/>
      <c r="E86" s="293"/>
      <c r="F86" s="311"/>
      <c r="G86" s="299"/>
      <c r="H86" s="293"/>
      <c r="I86" s="311"/>
      <c r="J86" s="299"/>
      <c r="K86" s="293"/>
      <c r="L86" s="311"/>
      <c r="M86" s="299"/>
      <c r="N86" s="293"/>
      <c r="O86" s="311"/>
      <c r="P86" s="299"/>
      <c r="Q86" s="293"/>
      <c r="R86" s="311"/>
      <c r="S86" s="299"/>
      <c r="T86" s="293"/>
      <c r="U86" s="311"/>
      <c r="V86" s="299"/>
      <c r="W86" s="293"/>
      <c r="X86" s="311"/>
      <c r="Y86" s="299"/>
      <c r="Z86" s="293"/>
      <c r="AA86" s="311"/>
      <c r="AB86" s="299"/>
      <c r="AC86" s="293"/>
      <c r="AD86" s="311"/>
      <c r="AE86" s="299"/>
      <c r="AF86" s="293"/>
      <c r="AG86" s="311"/>
      <c r="AH86" s="299"/>
      <c r="AI86" s="293"/>
      <c r="AJ86" s="311"/>
      <c r="AK86" s="299"/>
      <c r="AL86" s="293"/>
      <c r="AM86" s="311"/>
      <c r="AN86" s="299"/>
      <c r="AO86" s="302"/>
      <c r="AP86" s="268"/>
      <c r="AQ86" s="294"/>
      <c r="AR86" s="294"/>
      <c r="AS86" s="268"/>
      <c r="AT86" s="294"/>
      <c r="AU86" s="294"/>
      <c r="AV86" s="268"/>
      <c r="AW86" s="260"/>
    </row>
    <row r="87" spans="1:49" ht="13" x14ac:dyDescent="0.15">
      <c r="A87" s="130"/>
      <c r="B87" s="131"/>
      <c r="C87" s="130"/>
      <c r="D87" s="131"/>
      <c r="E87" s="131"/>
      <c r="F87" s="130"/>
      <c r="G87" s="131"/>
      <c r="H87" s="131"/>
      <c r="I87" s="130"/>
      <c r="J87" s="131"/>
      <c r="K87" s="131"/>
      <c r="L87" s="130"/>
      <c r="M87" s="131"/>
      <c r="N87" s="131"/>
      <c r="O87" s="130"/>
      <c r="P87" s="131"/>
      <c r="Q87" s="131"/>
      <c r="R87" s="130"/>
      <c r="S87" s="131"/>
      <c r="T87" s="131"/>
      <c r="U87" s="130"/>
      <c r="V87" s="131"/>
      <c r="W87" s="131"/>
      <c r="X87" s="130"/>
      <c r="Y87" s="131"/>
      <c r="Z87" s="131"/>
      <c r="AA87" s="130"/>
      <c r="AB87" s="131"/>
      <c r="AC87" s="131"/>
      <c r="AD87" s="130"/>
      <c r="AE87" s="131"/>
      <c r="AF87" s="131"/>
      <c r="AG87" s="130"/>
      <c r="AH87" s="131"/>
      <c r="AI87" s="131"/>
      <c r="AJ87" s="130"/>
      <c r="AK87" s="131"/>
      <c r="AL87" s="131"/>
      <c r="AM87" s="130"/>
      <c r="AN87" s="131"/>
      <c r="AO87" s="131"/>
      <c r="AP87" s="130"/>
      <c r="AQ87" s="131"/>
      <c r="AR87" s="131"/>
      <c r="AS87" s="130"/>
      <c r="AT87" s="131"/>
      <c r="AU87" s="131"/>
      <c r="AV87" s="130"/>
      <c r="AW87" s="260"/>
    </row>
    <row r="88" spans="1:49" ht="13" x14ac:dyDescent="0.15">
      <c r="A88" s="130"/>
      <c r="B88" s="131"/>
      <c r="C88" s="130"/>
      <c r="D88" s="131"/>
      <c r="E88" s="131"/>
      <c r="F88" s="130"/>
      <c r="G88" s="131"/>
      <c r="H88" s="131"/>
      <c r="I88" s="130"/>
      <c r="J88" s="131"/>
      <c r="K88" s="131"/>
      <c r="L88" s="130"/>
      <c r="M88" s="131"/>
      <c r="N88" s="131"/>
      <c r="O88" s="130"/>
      <c r="P88" s="131"/>
      <c r="Q88" s="131"/>
      <c r="R88" s="130"/>
      <c r="S88" s="131"/>
      <c r="T88" s="131"/>
      <c r="U88" s="130"/>
      <c r="V88" s="131"/>
      <c r="W88" s="131"/>
      <c r="X88" s="130"/>
      <c r="Y88" s="131"/>
      <c r="Z88" s="131"/>
      <c r="AA88" s="130"/>
      <c r="AB88" s="131"/>
      <c r="AC88" s="131"/>
      <c r="AD88" s="130"/>
      <c r="AE88" s="131"/>
      <c r="AF88" s="131"/>
      <c r="AG88" s="130"/>
      <c r="AH88" s="131"/>
      <c r="AI88" s="131"/>
      <c r="AJ88" s="130"/>
      <c r="AK88" s="131"/>
      <c r="AL88" s="131"/>
      <c r="AM88" s="130"/>
      <c r="AN88" s="131"/>
      <c r="AO88" s="131"/>
      <c r="AP88" s="130"/>
      <c r="AQ88" s="131"/>
      <c r="AR88" s="131"/>
      <c r="AS88" s="130"/>
      <c r="AT88" s="131"/>
      <c r="AU88" s="131"/>
      <c r="AV88" s="130"/>
      <c r="AW88" s="260"/>
    </row>
    <row r="89" spans="1:49" ht="13" x14ac:dyDescent="0.15">
      <c r="A89" s="130"/>
      <c r="B89" s="131"/>
      <c r="C89" s="130"/>
      <c r="D89" s="131"/>
      <c r="E89" s="131"/>
      <c r="F89" s="130"/>
      <c r="G89" s="131"/>
      <c r="H89" s="131"/>
      <c r="I89" s="130"/>
      <c r="J89" s="131"/>
      <c r="K89" s="131"/>
      <c r="L89" s="130"/>
      <c r="M89" s="131"/>
      <c r="N89" s="131"/>
      <c r="O89" s="130"/>
      <c r="P89" s="131"/>
      <c r="Q89" s="131"/>
      <c r="R89" s="130"/>
      <c r="S89" s="131"/>
      <c r="T89" s="131"/>
      <c r="U89" s="130"/>
      <c r="V89" s="131"/>
      <c r="W89" s="131"/>
      <c r="X89" s="130"/>
      <c r="Y89" s="131"/>
      <c r="Z89" s="131"/>
      <c r="AA89" s="130"/>
      <c r="AB89" s="131"/>
      <c r="AC89" s="131"/>
      <c r="AD89" s="130"/>
      <c r="AE89" s="131"/>
      <c r="AF89" s="131"/>
      <c r="AG89" s="130"/>
      <c r="AH89" s="131"/>
      <c r="AI89" s="131"/>
      <c r="AJ89" s="130"/>
      <c r="AK89" s="131"/>
      <c r="AL89" s="131"/>
      <c r="AM89" s="130"/>
      <c r="AN89" s="131"/>
      <c r="AO89" s="131"/>
      <c r="AP89" s="130"/>
      <c r="AQ89" s="131"/>
      <c r="AR89" s="131"/>
      <c r="AS89" s="130"/>
      <c r="AT89" s="131"/>
      <c r="AU89" s="131"/>
      <c r="AV89" s="130"/>
      <c r="AW89" s="260"/>
    </row>
    <row r="90" spans="1:49" ht="13" x14ac:dyDescent="0.15">
      <c r="A90" s="130"/>
      <c r="B90" s="131"/>
      <c r="C90" s="130"/>
      <c r="D90" s="131"/>
      <c r="E90" s="131"/>
      <c r="F90" s="130"/>
      <c r="G90" s="131"/>
      <c r="H90" s="131"/>
      <c r="I90" s="130"/>
      <c r="J90" s="131"/>
      <c r="K90" s="131"/>
      <c r="L90" s="130"/>
      <c r="M90" s="131"/>
      <c r="N90" s="131"/>
      <c r="O90" s="130"/>
      <c r="P90" s="131"/>
      <c r="Q90" s="131"/>
      <c r="R90" s="130"/>
      <c r="S90" s="131"/>
      <c r="T90" s="131"/>
      <c r="U90" s="130"/>
      <c r="V90" s="131"/>
      <c r="W90" s="131"/>
      <c r="X90" s="130"/>
      <c r="Y90" s="131"/>
      <c r="Z90" s="131"/>
      <c r="AA90" s="130"/>
      <c r="AB90" s="131"/>
      <c r="AC90" s="131"/>
      <c r="AD90" s="130"/>
      <c r="AE90" s="131"/>
      <c r="AF90" s="131"/>
      <c r="AG90" s="130"/>
      <c r="AH90" s="131"/>
      <c r="AI90" s="131"/>
      <c r="AJ90" s="130"/>
      <c r="AK90" s="131"/>
      <c r="AL90" s="131"/>
      <c r="AM90" s="130"/>
      <c r="AN90" s="131"/>
      <c r="AO90" s="131"/>
      <c r="AP90" s="130"/>
      <c r="AQ90" s="131"/>
      <c r="AR90" s="131"/>
      <c r="AS90" s="130"/>
      <c r="AT90" s="131"/>
      <c r="AU90" s="131"/>
      <c r="AV90" s="130"/>
      <c r="AW90" s="260"/>
    </row>
    <row r="91" spans="1:49" ht="13" x14ac:dyDescent="0.15">
      <c r="A91" s="130"/>
      <c r="B91" s="131"/>
      <c r="C91" s="130"/>
      <c r="D91" s="131"/>
      <c r="E91" s="131"/>
      <c r="F91" s="130"/>
      <c r="G91" s="131"/>
      <c r="H91" s="131"/>
      <c r="I91" s="130"/>
      <c r="J91" s="131"/>
      <c r="K91" s="131"/>
      <c r="L91" s="130"/>
      <c r="M91" s="131"/>
      <c r="N91" s="131"/>
      <c r="O91" s="130"/>
      <c r="P91" s="131"/>
      <c r="Q91" s="131"/>
      <c r="R91" s="130"/>
      <c r="S91" s="131"/>
      <c r="T91" s="131"/>
      <c r="U91" s="130"/>
      <c r="V91" s="131"/>
      <c r="W91" s="131"/>
      <c r="X91" s="130"/>
      <c r="Y91" s="131"/>
      <c r="Z91" s="131"/>
      <c r="AA91" s="130"/>
      <c r="AB91" s="131"/>
      <c r="AC91" s="131"/>
      <c r="AD91" s="130"/>
      <c r="AE91" s="131"/>
      <c r="AF91" s="131"/>
      <c r="AG91" s="130"/>
      <c r="AH91" s="131"/>
      <c r="AI91" s="131"/>
      <c r="AJ91" s="130"/>
      <c r="AK91" s="131"/>
      <c r="AL91" s="131"/>
      <c r="AM91" s="130"/>
      <c r="AN91" s="131"/>
      <c r="AO91" s="131"/>
      <c r="AP91" s="130"/>
      <c r="AQ91" s="131"/>
      <c r="AR91" s="131"/>
      <c r="AS91" s="130"/>
      <c r="AT91" s="131"/>
      <c r="AU91" s="131"/>
      <c r="AV91" s="130"/>
      <c r="AW91" s="260"/>
    </row>
    <row r="92" spans="1:49" ht="13" x14ac:dyDescent="0.15">
      <c r="A92" s="130"/>
      <c r="B92" s="131"/>
      <c r="C92" s="130"/>
      <c r="D92" s="131"/>
      <c r="E92" s="131"/>
      <c r="F92" s="130"/>
      <c r="G92" s="131"/>
      <c r="H92" s="131"/>
      <c r="I92" s="130"/>
      <c r="J92" s="131"/>
      <c r="K92" s="131"/>
      <c r="L92" s="130"/>
      <c r="M92" s="131"/>
      <c r="N92" s="131"/>
      <c r="O92" s="130"/>
      <c r="P92" s="131"/>
      <c r="Q92" s="131"/>
      <c r="R92" s="130"/>
      <c r="S92" s="131"/>
      <c r="T92" s="131"/>
      <c r="U92" s="130"/>
      <c r="V92" s="131"/>
      <c r="W92" s="131"/>
      <c r="X92" s="130"/>
      <c r="Y92" s="131"/>
      <c r="Z92" s="131"/>
      <c r="AA92" s="130"/>
      <c r="AB92" s="131"/>
      <c r="AC92" s="131"/>
      <c r="AD92" s="130"/>
      <c r="AE92" s="131"/>
      <c r="AF92" s="131"/>
      <c r="AG92" s="130"/>
      <c r="AH92" s="131"/>
      <c r="AI92" s="131"/>
      <c r="AJ92" s="130"/>
      <c r="AK92" s="131"/>
      <c r="AL92" s="131"/>
      <c r="AM92" s="130"/>
      <c r="AN92" s="131"/>
      <c r="AO92" s="131"/>
      <c r="AP92" s="130"/>
      <c r="AQ92" s="131"/>
      <c r="AR92" s="131"/>
      <c r="AS92" s="130"/>
      <c r="AT92" s="131"/>
      <c r="AU92" s="131"/>
      <c r="AV92" s="130"/>
      <c r="AW92" s="260"/>
    </row>
    <row r="93" spans="1:49" ht="13" x14ac:dyDescent="0.15">
      <c r="A93" s="130"/>
      <c r="B93" s="131"/>
      <c r="C93" s="130"/>
      <c r="D93" s="131"/>
      <c r="E93" s="131"/>
      <c r="F93" s="130"/>
      <c r="G93" s="131"/>
      <c r="H93" s="131"/>
      <c r="I93" s="130"/>
      <c r="J93" s="131"/>
      <c r="K93" s="131"/>
      <c r="L93" s="130"/>
      <c r="M93" s="131"/>
      <c r="N93" s="131"/>
      <c r="O93" s="130"/>
      <c r="P93" s="131"/>
      <c r="Q93" s="131"/>
      <c r="R93" s="130"/>
      <c r="S93" s="131"/>
      <c r="T93" s="131"/>
      <c r="U93" s="130"/>
      <c r="V93" s="131"/>
      <c r="W93" s="131"/>
      <c r="X93" s="130"/>
      <c r="Y93" s="131"/>
      <c r="Z93" s="131"/>
      <c r="AA93" s="130"/>
      <c r="AB93" s="131"/>
      <c r="AC93" s="131"/>
      <c r="AD93" s="130"/>
      <c r="AE93" s="131"/>
      <c r="AF93" s="131"/>
      <c r="AG93" s="130"/>
      <c r="AH93" s="131"/>
      <c r="AI93" s="131"/>
      <c r="AJ93" s="130"/>
      <c r="AK93" s="131"/>
      <c r="AL93" s="131"/>
      <c r="AM93" s="130"/>
      <c r="AN93" s="131"/>
      <c r="AO93" s="131"/>
      <c r="AP93" s="130"/>
      <c r="AQ93" s="131"/>
      <c r="AR93" s="131"/>
      <c r="AS93" s="130"/>
      <c r="AT93" s="131"/>
      <c r="AU93" s="131"/>
      <c r="AV93" s="130"/>
    </row>
  </sheetData>
  <sortState xmlns:xlrd2="http://schemas.microsoft.com/office/spreadsheetml/2017/richdata2" ref="AI55:AJ70">
    <sortCondition ref="AI55:AI70"/>
    <sortCondition ref="AJ55:AJ70"/>
  </sortState>
  <mergeCells count="5">
    <mergeCell ref="AP54:AV54"/>
    <mergeCell ref="R1:AD1"/>
    <mergeCell ref="A2:I2"/>
    <mergeCell ref="R2:AD2"/>
    <mergeCell ref="AP52:AV5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8" fitToWidth="3" fitToHeight="2" pageOrder="overThenDown" orientation="landscape" r:id="rId1"/>
  <rowBreaks count="1" manualBreakCount="1">
    <brk id="45" max="48" man="1"/>
  </rowBreaks>
  <colBreaks count="2" manualBreakCount="2">
    <brk id="16" max="90" man="1"/>
    <brk id="34" max="9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798"/>
  <sheetViews>
    <sheetView zoomScale="123" zoomScaleNormal="123" zoomScaleSheetLayoutView="10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O4" sqref="O4:O21"/>
    </sheetView>
  </sheetViews>
  <sheetFormatPr baseColWidth="10" defaultColWidth="11.5" defaultRowHeight="13" x14ac:dyDescent="0.15"/>
  <cols>
    <col min="1" max="1" width="4" style="108" bestFit="1" customWidth="1"/>
    <col min="2" max="17" width="24.6640625" style="108" customWidth="1"/>
    <col min="18" max="16384" width="11.5" style="108"/>
  </cols>
  <sheetData>
    <row r="1" spans="1:19" x14ac:dyDescent="0.15">
      <c r="B1" s="129" t="s">
        <v>314</v>
      </c>
      <c r="C1" s="109" t="s">
        <v>313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spans="1:19" x14ac:dyDescent="0.15">
      <c r="B2" s="109">
        <f t="shared" ref="B2:Q2" si="0">COUNTA(B4:B28)</f>
        <v>9</v>
      </c>
      <c r="C2" s="109">
        <f t="shared" si="0"/>
        <v>10</v>
      </c>
      <c r="D2" s="109">
        <f t="shared" si="0"/>
        <v>13</v>
      </c>
      <c r="E2" s="109">
        <f t="shared" si="0"/>
        <v>17</v>
      </c>
      <c r="F2" s="109">
        <f t="shared" si="0"/>
        <v>8</v>
      </c>
      <c r="G2" s="109">
        <f t="shared" si="0"/>
        <v>12</v>
      </c>
      <c r="H2" s="109">
        <f t="shared" si="0"/>
        <v>16</v>
      </c>
      <c r="I2" s="109">
        <f t="shared" si="0"/>
        <v>16</v>
      </c>
      <c r="J2" s="109">
        <f t="shared" si="0"/>
        <v>12</v>
      </c>
      <c r="K2" s="109">
        <f t="shared" si="0"/>
        <v>19</v>
      </c>
      <c r="L2" s="109">
        <f t="shared" si="0"/>
        <v>14</v>
      </c>
      <c r="M2" s="109">
        <f t="shared" si="0"/>
        <v>16</v>
      </c>
      <c r="N2" s="109">
        <f t="shared" si="0"/>
        <v>21</v>
      </c>
      <c r="O2" s="109">
        <f t="shared" si="0"/>
        <v>18</v>
      </c>
      <c r="P2" s="109">
        <f t="shared" si="0"/>
        <v>17</v>
      </c>
      <c r="Q2" s="109">
        <f t="shared" si="0"/>
        <v>20</v>
      </c>
    </row>
    <row r="3" spans="1:19" ht="28" x14ac:dyDescent="0.15">
      <c r="B3" s="128" t="s">
        <v>312</v>
      </c>
      <c r="C3" s="92" t="s">
        <v>54</v>
      </c>
      <c r="D3" s="127" t="s">
        <v>311</v>
      </c>
      <c r="E3" s="127" t="s">
        <v>310</v>
      </c>
      <c r="F3" s="127" t="s">
        <v>309</v>
      </c>
      <c r="G3" s="126" t="s">
        <v>308</v>
      </c>
      <c r="H3" s="93" t="s">
        <v>307</v>
      </c>
      <c r="I3" s="93" t="s">
        <v>56</v>
      </c>
      <c r="J3" s="93" t="s">
        <v>306</v>
      </c>
      <c r="K3" s="93" t="s">
        <v>305</v>
      </c>
      <c r="L3" s="93" t="s">
        <v>304</v>
      </c>
      <c r="M3" s="125" t="s">
        <v>303</v>
      </c>
      <c r="N3" s="125" t="s">
        <v>302</v>
      </c>
      <c r="O3" s="125" t="s">
        <v>301</v>
      </c>
      <c r="P3" s="125" t="s">
        <v>300</v>
      </c>
      <c r="Q3" s="124" t="s">
        <v>299</v>
      </c>
      <c r="S3" s="108" t="s">
        <v>476</v>
      </c>
    </row>
    <row r="4" spans="1:19" x14ac:dyDescent="0.15">
      <c r="A4" s="108">
        <v>1</v>
      </c>
      <c r="B4" s="112" t="s">
        <v>298</v>
      </c>
      <c r="C4" s="112" t="s">
        <v>297</v>
      </c>
      <c r="D4" s="112" t="s">
        <v>296</v>
      </c>
      <c r="E4" s="112" t="s">
        <v>295</v>
      </c>
      <c r="F4" s="116" t="s">
        <v>128</v>
      </c>
      <c r="G4" s="116" t="s">
        <v>128</v>
      </c>
      <c r="H4" s="112" t="s">
        <v>294</v>
      </c>
      <c r="I4" s="112" t="s">
        <v>293</v>
      </c>
      <c r="J4" s="112" t="s">
        <v>292</v>
      </c>
      <c r="K4" s="116" t="s">
        <v>100</v>
      </c>
      <c r="L4" s="112" t="s">
        <v>291</v>
      </c>
      <c r="M4" s="123" t="s">
        <v>290</v>
      </c>
      <c r="N4" s="116" t="s">
        <v>110</v>
      </c>
      <c r="O4" s="116" t="s">
        <v>155</v>
      </c>
      <c r="P4" s="116" t="s">
        <v>101</v>
      </c>
      <c r="Q4" s="116" t="s">
        <v>101</v>
      </c>
    </row>
    <row r="5" spans="1:19" x14ac:dyDescent="0.15">
      <c r="A5" s="108">
        <v>2</v>
      </c>
      <c r="B5" s="112" t="s">
        <v>289</v>
      </c>
      <c r="C5" s="112" t="s">
        <v>288</v>
      </c>
      <c r="D5" s="122" t="s">
        <v>287</v>
      </c>
      <c r="E5" s="122" t="s">
        <v>286</v>
      </c>
      <c r="F5" s="116" t="s">
        <v>147</v>
      </c>
      <c r="G5" s="116" t="s">
        <v>110</v>
      </c>
      <c r="H5" s="116" t="s">
        <v>155</v>
      </c>
      <c r="I5" s="116" t="s">
        <v>134</v>
      </c>
      <c r="J5" s="112" t="s">
        <v>285</v>
      </c>
      <c r="K5" s="116" t="s">
        <v>147</v>
      </c>
      <c r="L5" s="116" t="s">
        <v>147</v>
      </c>
      <c r="M5" s="116" t="s">
        <v>134</v>
      </c>
      <c r="N5" s="112" t="s">
        <v>284</v>
      </c>
      <c r="O5" s="116" t="s">
        <v>152</v>
      </c>
      <c r="P5" s="112" t="s">
        <v>283</v>
      </c>
      <c r="Q5" s="116" t="s">
        <v>100</v>
      </c>
    </row>
    <row r="6" spans="1:19" x14ac:dyDescent="0.15">
      <c r="A6" s="108">
        <v>3</v>
      </c>
      <c r="B6" s="112" t="s">
        <v>282</v>
      </c>
      <c r="C6" s="112" t="s">
        <v>281</v>
      </c>
      <c r="D6" s="112" t="s">
        <v>280</v>
      </c>
      <c r="E6" s="112" t="s">
        <v>279</v>
      </c>
      <c r="F6" s="116" t="s">
        <v>154</v>
      </c>
      <c r="G6" s="116" t="s">
        <v>147</v>
      </c>
      <c r="H6" s="116" t="s">
        <v>152</v>
      </c>
      <c r="I6" s="112" t="s">
        <v>278</v>
      </c>
      <c r="J6" s="116" t="s">
        <v>122</v>
      </c>
      <c r="K6" s="112" t="s">
        <v>277</v>
      </c>
      <c r="L6" s="116" t="s">
        <v>120</v>
      </c>
      <c r="M6" s="112" t="s">
        <v>276</v>
      </c>
      <c r="N6" s="112" t="s">
        <v>275</v>
      </c>
      <c r="O6" s="112" t="s">
        <v>274</v>
      </c>
      <c r="P6" s="116" t="s">
        <v>128</v>
      </c>
      <c r="Q6" s="116" t="s">
        <v>120</v>
      </c>
    </row>
    <row r="7" spans="1:19" x14ac:dyDescent="0.15">
      <c r="A7" s="108">
        <v>4</v>
      </c>
      <c r="B7" s="112" t="s">
        <v>273</v>
      </c>
      <c r="C7" s="122" t="s">
        <v>272</v>
      </c>
      <c r="D7" s="122" t="s">
        <v>271</v>
      </c>
      <c r="E7" s="112" t="s">
        <v>270</v>
      </c>
      <c r="F7" s="116" t="s">
        <v>121</v>
      </c>
      <c r="G7" s="116" t="s">
        <v>154</v>
      </c>
      <c r="H7" s="112" t="s">
        <v>269</v>
      </c>
      <c r="I7" s="112" t="s">
        <v>268</v>
      </c>
      <c r="J7" s="116" t="s">
        <v>138</v>
      </c>
      <c r="K7" s="116" t="s">
        <v>120</v>
      </c>
      <c r="L7" s="112" t="s">
        <v>267</v>
      </c>
      <c r="M7" s="112" t="s">
        <v>266</v>
      </c>
      <c r="N7" s="116" t="s">
        <v>109</v>
      </c>
      <c r="O7" s="112" t="s">
        <v>265</v>
      </c>
      <c r="P7" s="116" t="s">
        <v>99</v>
      </c>
      <c r="Q7" s="116" t="s">
        <v>127</v>
      </c>
    </row>
    <row r="8" spans="1:19" x14ac:dyDescent="0.15">
      <c r="A8" s="108">
        <v>5</v>
      </c>
      <c r="B8" s="112" t="s">
        <v>264</v>
      </c>
      <c r="C8" s="112" t="s">
        <v>263</v>
      </c>
      <c r="D8" s="112" t="s">
        <v>262</v>
      </c>
      <c r="E8" s="116" t="s">
        <v>156</v>
      </c>
      <c r="F8" s="116" t="s">
        <v>118</v>
      </c>
      <c r="G8" s="116" t="s">
        <v>121</v>
      </c>
      <c r="H8" s="112" t="s">
        <v>261</v>
      </c>
      <c r="I8" s="112" t="s">
        <v>260</v>
      </c>
      <c r="J8" s="112" t="s">
        <v>259</v>
      </c>
      <c r="K8" s="116" t="s">
        <v>109</v>
      </c>
      <c r="L8" s="112" t="s">
        <v>258</v>
      </c>
      <c r="M8" s="112" t="s">
        <v>257</v>
      </c>
      <c r="N8" s="116" t="s">
        <v>127</v>
      </c>
      <c r="O8" s="112" t="s">
        <v>256</v>
      </c>
      <c r="P8" s="112" t="s">
        <v>255</v>
      </c>
      <c r="Q8" s="116" t="s">
        <v>99</v>
      </c>
    </row>
    <row r="9" spans="1:19" x14ac:dyDescent="0.15">
      <c r="A9" s="108">
        <v>6</v>
      </c>
      <c r="B9" s="112" t="s">
        <v>254</v>
      </c>
      <c r="C9" s="112" t="s">
        <v>253</v>
      </c>
      <c r="D9" s="116" t="s">
        <v>145</v>
      </c>
      <c r="E9" s="112" t="s">
        <v>252</v>
      </c>
      <c r="F9" s="116" t="s">
        <v>92</v>
      </c>
      <c r="G9" s="116" t="s">
        <v>139</v>
      </c>
      <c r="H9" s="112" t="s">
        <v>251</v>
      </c>
      <c r="I9" s="112" t="s">
        <v>250</v>
      </c>
      <c r="J9" s="112" t="s">
        <v>249</v>
      </c>
      <c r="K9" s="116" t="s">
        <v>127</v>
      </c>
      <c r="L9" s="112" t="s">
        <v>248</v>
      </c>
      <c r="M9" s="112" t="s">
        <v>247</v>
      </c>
      <c r="N9" s="116" t="s">
        <v>122</v>
      </c>
      <c r="O9" s="112" t="s">
        <v>246</v>
      </c>
      <c r="P9" s="112" t="s">
        <v>245</v>
      </c>
      <c r="Q9" s="116" t="s">
        <v>98</v>
      </c>
    </row>
    <row r="10" spans="1:19" x14ac:dyDescent="0.15">
      <c r="A10" s="108">
        <v>7</v>
      </c>
      <c r="B10" s="112" t="s">
        <v>244</v>
      </c>
      <c r="C10" s="112" t="s">
        <v>243</v>
      </c>
      <c r="D10" s="112" t="s">
        <v>242</v>
      </c>
      <c r="E10" s="112" t="s">
        <v>241</v>
      </c>
      <c r="F10" s="116" t="s">
        <v>116</v>
      </c>
      <c r="G10" s="116" t="s">
        <v>118</v>
      </c>
      <c r="H10" s="112" t="s">
        <v>240</v>
      </c>
      <c r="I10" s="112" t="s">
        <v>239</v>
      </c>
      <c r="J10" s="112" t="s">
        <v>238</v>
      </c>
      <c r="K10" s="116" t="s">
        <v>98</v>
      </c>
      <c r="L10" s="116" t="s">
        <v>111</v>
      </c>
      <c r="M10" s="112" t="s">
        <v>237</v>
      </c>
      <c r="N10" s="116" t="s">
        <v>138</v>
      </c>
      <c r="O10" s="112" t="s">
        <v>236</v>
      </c>
      <c r="P10" s="116" t="s">
        <v>235</v>
      </c>
      <c r="Q10" s="116" t="s">
        <v>138</v>
      </c>
    </row>
    <row r="11" spans="1:19" x14ac:dyDescent="0.15">
      <c r="A11" s="108">
        <v>8</v>
      </c>
      <c r="B11" s="112" t="s">
        <v>234</v>
      </c>
      <c r="C11" s="112" t="s">
        <v>233</v>
      </c>
      <c r="D11" s="112" t="s">
        <v>232</v>
      </c>
      <c r="E11" s="112" t="s">
        <v>231</v>
      </c>
      <c r="F11" s="112"/>
      <c r="G11" s="116" t="s">
        <v>104</v>
      </c>
      <c r="H11" s="112" t="s">
        <v>230</v>
      </c>
      <c r="I11" s="116" t="s">
        <v>156</v>
      </c>
      <c r="J11" s="116" t="s">
        <v>119</v>
      </c>
      <c r="K11" s="116" t="s">
        <v>138</v>
      </c>
      <c r="L11" s="122" t="s">
        <v>229</v>
      </c>
      <c r="M11" s="112" t="s">
        <v>228</v>
      </c>
      <c r="N11" s="116" t="s">
        <v>106</v>
      </c>
      <c r="O11" s="112" t="s">
        <v>227</v>
      </c>
      <c r="P11" s="112" t="s">
        <v>226</v>
      </c>
      <c r="Q11" s="116" t="s">
        <v>96</v>
      </c>
    </row>
    <row r="12" spans="1:19" ht="14" x14ac:dyDescent="0.15">
      <c r="A12" s="108">
        <v>9</v>
      </c>
      <c r="B12" s="112" t="s">
        <v>225</v>
      </c>
      <c r="C12" s="112" t="s">
        <v>224</v>
      </c>
      <c r="D12" s="122" t="s">
        <v>223</v>
      </c>
      <c r="E12" s="116" t="s">
        <v>141</v>
      </c>
      <c r="F12" s="119" t="s">
        <v>175</v>
      </c>
      <c r="G12" s="116" t="s">
        <v>133</v>
      </c>
      <c r="H12" s="112" t="s">
        <v>222</v>
      </c>
      <c r="I12" s="112" t="s">
        <v>221</v>
      </c>
      <c r="J12" s="116" t="s">
        <v>146</v>
      </c>
      <c r="K12" s="116" t="s">
        <v>106</v>
      </c>
      <c r="L12" s="112" t="s">
        <v>220</v>
      </c>
      <c r="M12" s="116" t="s">
        <v>156</v>
      </c>
      <c r="N12" s="116" t="s">
        <v>154</v>
      </c>
      <c r="O12" s="112" t="s">
        <v>219</v>
      </c>
      <c r="P12" s="112" t="s">
        <v>218</v>
      </c>
      <c r="Q12" s="110" t="s">
        <v>154</v>
      </c>
    </row>
    <row r="13" spans="1:19" x14ac:dyDescent="0.15">
      <c r="A13" s="108">
        <v>10</v>
      </c>
      <c r="B13" s="112"/>
      <c r="C13" s="112" t="s">
        <v>217</v>
      </c>
      <c r="D13" s="122" t="s">
        <v>216</v>
      </c>
      <c r="E13" s="116" t="s">
        <v>146</v>
      </c>
      <c r="F13" s="112"/>
      <c r="G13" s="116" t="s">
        <v>92</v>
      </c>
      <c r="H13" s="112" t="s">
        <v>215</v>
      </c>
      <c r="I13" s="112" t="s">
        <v>214</v>
      </c>
      <c r="J13" s="116" t="s">
        <v>117</v>
      </c>
      <c r="K13" s="116" t="s">
        <v>96</v>
      </c>
      <c r="L13" s="116" t="s">
        <v>133</v>
      </c>
      <c r="M13" s="112" t="s">
        <v>213</v>
      </c>
      <c r="N13" s="116" t="s">
        <v>102</v>
      </c>
      <c r="O13" s="112" t="s">
        <v>212</v>
      </c>
      <c r="P13" s="112" t="s">
        <v>211</v>
      </c>
      <c r="Q13" s="116" t="s">
        <v>235</v>
      </c>
    </row>
    <row r="14" spans="1:19" x14ac:dyDescent="0.15">
      <c r="A14" s="108">
        <v>11</v>
      </c>
      <c r="B14" s="112"/>
      <c r="C14" s="112"/>
      <c r="D14" s="112" t="s">
        <v>210</v>
      </c>
      <c r="E14" s="116" t="s">
        <v>153</v>
      </c>
      <c r="F14" s="112"/>
      <c r="G14" s="116" t="s">
        <v>116</v>
      </c>
      <c r="H14" s="112" t="s">
        <v>209</v>
      </c>
      <c r="I14" s="112" t="s">
        <v>208</v>
      </c>
      <c r="J14" s="116" t="s">
        <v>115</v>
      </c>
      <c r="K14" s="116" t="s">
        <v>154</v>
      </c>
      <c r="L14" s="116" t="s">
        <v>92</v>
      </c>
      <c r="M14" s="116" t="s">
        <v>141</v>
      </c>
      <c r="N14" s="112" t="s">
        <v>207</v>
      </c>
      <c r="O14" s="112" t="s">
        <v>206</v>
      </c>
      <c r="P14" s="112" t="s">
        <v>205</v>
      </c>
      <c r="Q14" s="116" t="s">
        <v>111</v>
      </c>
    </row>
    <row r="15" spans="1:19" x14ac:dyDescent="0.15">
      <c r="A15" s="108">
        <v>12</v>
      </c>
      <c r="B15" s="112"/>
      <c r="C15" s="112"/>
      <c r="D15" s="112" t="s">
        <v>204</v>
      </c>
      <c r="E15" s="122" t="s">
        <v>203</v>
      </c>
      <c r="F15" s="112"/>
      <c r="G15" s="112"/>
      <c r="H15" s="112" t="s">
        <v>202</v>
      </c>
      <c r="I15" s="116" t="s">
        <v>153</v>
      </c>
      <c r="J15" s="116" t="s">
        <v>130</v>
      </c>
      <c r="K15" s="116" t="s">
        <v>102</v>
      </c>
      <c r="L15" s="112" t="s">
        <v>201</v>
      </c>
      <c r="M15" s="112" t="s">
        <v>200</v>
      </c>
      <c r="N15" s="112" t="s">
        <v>199</v>
      </c>
      <c r="O15" s="116" t="s">
        <v>145</v>
      </c>
      <c r="P15" s="112" t="s">
        <v>198</v>
      </c>
      <c r="Q15" s="116" t="s">
        <v>95</v>
      </c>
    </row>
    <row r="16" spans="1:19" x14ac:dyDescent="0.15">
      <c r="A16" s="108">
        <v>13</v>
      </c>
      <c r="B16" s="112"/>
      <c r="C16" s="112"/>
      <c r="D16" s="112"/>
      <c r="E16" s="122" t="s">
        <v>197</v>
      </c>
      <c r="F16" s="112"/>
      <c r="G16" s="119" t="s">
        <v>175</v>
      </c>
      <c r="H16" s="112" t="s">
        <v>196</v>
      </c>
      <c r="I16" s="112" t="s">
        <v>195</v>
      </c>
      <c r="J16" s="112"/>
      <c r="K16" s="116" t="s">
        <v>94</v>
      </c>
      <c r="L16" s="116" t="s">
        <v>108</v>
      </c>
      <c r="M16" s="116" t="s">
        <v>146</v>
      </c>
      <c r="N16" s="116" t="s">
        <v>119</v>
      </c>
      <c r="O16" s="112" t="s">
        <v>194</v>
      </c>
      <c r="P16" s="112" t="s">
        <v>193</v>
      </c>
      <c r="Q16" s="116" t="s">
        <v>94</v>
      </c>
    </row>
    <row r="17" spans="1:17" x14ac:dyDescent="0.15">
      <c r="A17" s="108">
        <v>14</v>
      </c>
      <c r="B17" s="112"/>
      <c r="C17" s="112"/>
      <c r="D17" s="119" t="s">
        <v>175</v>
      </c>
      <c r="E17" s="112" t="s">
        <v>192</v>
      </c>
      <c r="F17" s="112"/>
      <c r="G17" s="112"/>
      <c r="H17" s="112" t="s">
        <v>191</v>
      </c>
      <c r="I17" s="112" t="s">
        <v>190</v>
      </c>
      <c r="J17" s="112"/>
      <c r="K17" s="112" t="s">
        <v>189</v>
      </c>
      <c r="L17" s="112"/>
      <c r="M17" s="112" t="s">
        <v>188</v>
      </c>
      <c r="N17" s="116" t="s">
        <v>95</v>
      </c>
      <c r="O17" s="112" t="s">
        <v>187</v>
      </c>
      <c r="P17" s="116" t="s">
        <v>104</v>
      </c>
      <c r="Q17" s="116" t="s">
        <v>126</v>
      </c>
    </row>
    <row r="18" spans="1:17" x14ac:dyDescent="0.15">
      <c r="A18" s="108">
        <v>15</v>
      </c>
      <c r="B18" s="112"/>
      <c r="C18" s="112"/>
      <c r="D18" s="112"/>
      <c r="E18" s="116" t="s">
        <v>136</v>
      </c>
      <c r="F18" s="112"/>
      <c r="G18" s="112"/>
      <c r="H18" s="112" t="s">
        <v>186</v>
      </c>
      <c r="I18" s="116" t="s">
        <v>136</v>
      </c>
      <c r="J18" s="112"/>
      <c r="K18" s="116" t="s">
        <v>126</v>
      </c>
      <c r="L18" s="121" t="s">
        <v>172</v>
      </c>
      <c r="M18" s="116" t="s">
        <v>153</v>
      </c>
      <c r="N18" s="116" t="s">
        <v>126</v>
      </c>
      <c r="O18" s="112" t="s">
        <v>185</v>
      </c>
      <c r="P18" s="112" t="s">
        <v>184</v>
      </c>
      <c r="Q18" s="116" t="s">
        <v>139</v>
      </c>
    </row>
    <row r="19" spans="1:17" x14ac:dyDescent="0.15">
      <c r="A19" s="108">
        <v>16</v>
      </c>
      <c r="B19" s="112"/>
      <c r="C19" s="112"/>
      <c r="D19" s="116"/>
      <c r="E19" s="122" t="s">
        <v>183</v>
      </c>
      <c r="F19" s="116"/>
      <c r="G19" s="116"/>
      <c r="H19" s="112" t="s">
        <v>182</v>
      </c>
      <c r="I19" s="112" t="s">
        <v>181</v>
      </c>
      <c r="J19" s="112"/>
      <c r="K19" s="116" t="s">
        <v>139</v>
      </c>
      <c r="L19" s="112"/>
      <c r="M19" s="116" t="s">
        <v>130</v>
      </c>
      <c r="N19" s="116" t="s">
        <v>139</v>
      </c>
      <c r="O19" s="112" t="s">
        <v>180</v>
      </c>
      <c r="P19" s="112" t="s">
        <v>179</v>
      </c>
      <c r="Q19" s="116" t="s">
        <v>178</v>
      </c>
    </row>
    <row r="20" spans="1:17" x14ac:dyDescent="0.15">
      <c r="A20" s="108">
        <v>17</v>
      </c>
      <c r="B20" s="112"/>
      <c r="C20" s="112"/>
      <c r="D20" s="116"/>
      <c r="E20" s="112"/>
      <c r="F20" s="116"/>
      <c r="G20" s="116"/>
      <c r="H20" s="112"/>
      <c r="I20" s="112"/>
      <c r="J20" s="112"/>
      <c r="K20" s="116" t="s">
        <v>178</v>
      </c>
      <c r="L20" s="112"/>
      <c r="M20" s="112"/>
      <c r="N20" s="120" t="s">
        <v>177</v>
      </c>
      <c r="O20" s="112" t="s">
        <v>176</v>
      </c>
      <c r="P20" s="112"/>
      <c r="Q20" s="116" t="s">
        <v>133</v>
      </c>
    </row>
    <row r="21" spans="1:17" x14ac:dyDescent="0.15">
      <c r="A21" s="108">
        <v>18</v>
      </c>
      <c r="B21" s="112"/>
      <c r="C21" s="112"/>
      <c r="D21" s="112"/>
      <c r="E21" s="119" t="s">
        <v>175</v>
      </c>
      <c r="F21" s="116"/>
      <c r="G21" s="116"/>
      <c r="H21" s="112"/>
      <c r="I21" s="112"/>
      <c r="J21" s="112"/>
      <c r="K21" s="112" t="s">
        <v>174</v>
      </c>
      <c r="L21" s="112"/>
      <c r="M21" s="112"/>
      <c r="N21" s="116" t="s">
        <v>117</v>
      </c>
      <c r="O21" s="112" t="s">
        <v>173</v>
      </c>
      <c r="P21" s="119" t="s">
        <v>170</v>
      </c>
      <c r="Q21" s="116" t="s">
        <v>92</v>
      </c>
    </row>
    <row r="22" spans="1:17" x14ac:dyDescent="0.15">
      <c r="A22" s="108">
        <v>19</v>
      </c>
      <c r="B22" s="112"/>
      <c r="C22" s="112"/>
      <c r="D22" s="112"/>
      <c r="E22" s="112"/>
      <c r="F22" s="116"/>
      <c r="G22" s="116"/>
      <c r="H22" s="112"/>
      <c r="I22" s="112"/>
      <c r="J22" s="112"/>
      <c r="K22" s="116" t="s">
        <v>133</v>
      </c>
      <c r="L22" s="112"/>
      <c r="M22" s="112"/>
      <c r="N22" s="116" t="s">
        <v>115</v>
      </c>
      <c r="O22" s="112"/>
      <c r="P22" s="112"/>
      <c r="Q22" s="116" t="s">
        <v>108</v>
      </c>
    </row>
    <row r="23" spans="1:17" x14ac:dyDescent="0.15">
      <c r="A23" s="108">
        <v>20</v>
      </c>
      <c r="B23" s="112"/>
      <c r="C23" s="112"/>
      <c r="D23" s="112"/>
      <c r="E23" s="112"/>
      <c r="F23" s="116"/>
      <c r="G23" s="116"/>
      <c r="H23" s="112"/>
      <c r="I23" s="112"/>
      <c r="J23" s="112"/>
      <c r="K23" s="111"/>
      <c r="L23" s="112"/>
      <c r="M23" s="112"/>
      <c r="N23" s="120" t="s">
        <v>171</v>
      </c>
      <c r="O23" s="112"/>
      <c r="P23" s="111"/>
      <c r="Q23" s="121" t="s">
        <v>172</v>
      </c>
    </row>
    <row r="24" spans="1:17" x14ac:dyDescent="0.15">
      <c r="A24" s="108">
        <v>21</v>
      </c>
      <c r="B24" s="111"/>
      <c r="C24" s="112"/>
      <c r="D24" s="111"/>
      <c r="E24" s="112"/>
      <c r="F24" s="111"/>
      <c r="G24" s="111"/>
      <c r="H24" s="111"/>
      <c r="I24" s="111"/>
      <c r="J24" s="111"/>
      <c r="K24" s="111"/>
      <c r="L24" s="111"/>
      <c r="M24" s="111"/>
      <c r="N24" s="112"/>
      <c r="O24" s="111"/>
      <c r="P24" s="111"/>
      <c r="Q24" s="111"/>
    </row>
    <row r="25" spans="1:17" x14ac:dyDescent="0.15">
      <c r="A25" s="108">
        <v>22</v>
      </c>
      <c r="B25" s="111"/>
      <c r="C25" s="112"/>
      <c r="D25" s="111"/>
      <c r="E25" s="112"/>
      <c r="F25" s="111"/>
      <c r="G25" s="111"/>
      <c r="H25" s="111"/>
      <c r="I25" s="111"/>
      <c r="J25" s="111"/>
      <c r="K25" s="111"/>
      <c r="L25" s="111"/>
      <c r="M25" s="112"/>
      <c r="N25" s="119" t="s">
        <v>170</v>
      </c>
      <c r="O25" s="112"/>
      <c r="P25" s="112"/>
      <c r="Q25" s="111"/>
    </row>
    <row r="26" spans="1:17" x14ac:dyDescent="0.15">
      <c r="A26" s="108">
        <v>23</v>
      </c>
      <c r="B26" s="111"/>
      <c r="C26" s="112"/>
      <c r="D26" s="111"/>
      <c r="E26" s="112"/>
      <c r="F26" s="111"/>
      <c r="G26" s="111"/>
      <c r="H26" s="111"/>
      <c r="I26" s="111"/>
      <c r="J26" s="111"/>
      <c r="K26" s="111"/>
      <c r="L26" s="112"/>
      <c r="M26" s="112"/>
      <c r="N26" s="112"/>
      <c r="O26" s="112"/>
      <c r="P26" s="112"/>
      <c r="Q26" s="112"/>
    </row>
    <row r="27" spans="1:17" x14ac:dyDescent="0.15">
      <c r="A27" s="108">
        <v>24</v>
      </c>
      <c r="B27" s="112"/>
      <c r="C27" s="112"/>
      <c r="D27" s="112"/>
      <c r="E27" s="112"/>
      <c r="F27" s="111"/>
      <c r="G27" s="111"/>
      <c r="H27" s="112"/>
      <c r="I27" s="112"/>
      <c r="J27" s="112"/>
      <c r="K27" s="111"/>
      <c r="L27" s="112"/>
      <c r="M27" s="112"/>
      <c r="N27" s="112"/>
      <c r="O27" s="112"/>
      <c r="P27" s="112"/>
      <c r="Q27" s="112"/>
    </row>
    <row r="28" spans="1:17" x14ac:dyDescent="0.15">
      <c r="A28" s="108">
        <v>25</v>
      </c>
      <c r="B28" s="112"/>
      <c r="C28" s="112"/>
      <c r="D28" s="112"/>
      <c r="E28" s="112"/>
      <c r="F28" s="111"/>
      <c r="G28" s="111"/>
      <c r="H28" s="112"/>
      <c r="I28" s="112"/>
      <c r="J28" s="112"/>
      <c r="K28" s="111"/>
      <c r="L28" s="112"/>
      <c r="M28" s="112"/>
      <c r="N28" s="116"/>
      <c r="O28" s="112"/>
      <c r="P28" s="112"/>
      <c r="Q28" s="112"/>
    </row>
    <row r="29" spans="1:17" x14ac:dyDescent="0.15">
      <c r="B29" s="109"/>
      <c r="C29" s="109"/>
      <c r="D29" s="109"/>
      <c r="E29" s="109"/>
      <c r="H29" s="109"/>
      <c r="I29" s="109"/>
      <c r="J29" s="109"/>
      <c r="L29" s="109"/>
      <c r="M29" s="109"/>
      <c r="N29" s="109"/>
      <c r="O29" s="109"/>
      <c r="P29" s="109"/>
    </row>
    <row r="30" spans="1:17" s="113" customFormat="1" ht="28" x14ac:dyDescent="0.15">
      <c r="B30" s="118"/>
      <c r="C30" s="118"/>
      <c r="D30" s="118" t="s">
        <v>169</v>
      </c>
      <c r="E30" s="118" t="s">
        <v>168</v>
      </c>
      <c r="F30" s="118" t="s">
        <v>163</v>
      </c>
      <c r="G30" s="118" t="s">
        <v>167</v>
      </c>
      <c r="H30" s="118" t="s">
        <v>166</v>
      </c>
      <c r="I30" s="118" t="s">
        <v>160</v>
      </c>
      <c r="J30" s="118" t="s">
        <v>165</v>
      </c>
      <c r="K30" s="118" t="s">
        <v>164</v>
      </c>
      <c r="L30" s="118" t="s">
        <v>163</v>
      </c>
      <c r="M30" s="118" t="s">
        <v>163</v>
      </c>
      <c r="N30" s="118" t="s">
        <v>162</v>
      </c>
      <c r="O30" s="118" t="s">
        <v>161</v>
      </c>
      <c r="P30" s="118" t="s">
        <v>168</v>
      </c>
      <c r="Q30" s="118" t="s">
        <v>477</v>
      </c>
    </row>
    <row r="31" spans="1:17" s="113" customFormat="1" ht="28" x14ac:dyDescent="0.15">
      <c r="B31" s="114"/>
      <c r="C31" s="114"/>
      <c r="D31" s="114" t="s">
        <v>149</v>
      </c>
      <c r="E31" s="114" t="s">
        <v>159</v>
      </c>
      <c r="F31" s="114" t="s">
        <v>157</v>
      </c>
      <c r="G31" s="114" t="s">
        <v>157</v>
      </c>
      <c r="H31" s="114" t="s">
        <v>158</v>
      </c>
      <c r="I31" s="114" t="s">
        <v>159</v>
      </c>
      <c r="J31" s="114" t="s">
        <v>142</v>
      </c>
      <c r="K31" s="114" t="s">
        <v>157</v>
      </c>
      <c r="L31" s="114" t="s">
        <v>151</v>
      </c>
      <c r="M31" s="114" t="s">
        <v>159</v>
      </c>
      <c r="N31" s="114" t="s">
        <v>157</v>
      </c>
      <c r="O31" s="114" t="s">
        <v>158</v>
      </c>
      <c r="P31" s="114" t="s">
        <v>131</v>
      </c>
      <c r="Q31" s="114" t="s">
        <v>157</v>
      </c>
    </row>
    <row r="32" spans="1:17" s="113" customFormat="1" ht="14" x14ac:dyDescent="0.15">
      <c r="B32" s="114"/>
      <c r="C32" s="114"/>
      <c r="D32" s="110" t="s">
        <v>145</v>
      </c>
      <c r="E32" s="110" t="s">
        <v>156</v>
      </c>
      <c r="F32" s="110" t="s">
        <v>154</v>
      </c>
      <c r="G32" s="110" t="s">
        <v>154</v>
      </c>
      <c r="H32" s="110" t="s">
        <v>155</v>
      </c>
      <c r="I32" s="110" t="s">
        <v>156</v>
      </c>
      <c r="J32" s="110" t="s">
        <v>138</v>
      </c>
      <c r="K32" s="110" t="s">
        <v>154</v>
      </c>
      <c r="L32" s="110" t="s">
        <v>147</v>
      </c>
      <c r="M32" s="110" t="s">
        <v>156</v>
      </c>
      <c r="N32" s="110" t="s">
        <v>154</v>
      </c>
      <c r="O32" s="110" t="s">
        <v>155</v>
      </c>
      <c r="P32" s="110" t="s">
        <v>128</v>
      </c>
      <c r="Q32" s="110" t="s">
        <v>154</v>
      </c>
    </row>
    <row r="33" spans="2:17" s="113" customFormat="1" ht="28" x14ac:dyDescent="0.15">
      <c r="B33" s="114"/>
      <c r="C33" s="114"/>
      <c r="D33" s="114"/>
      <c r="E33" s="110" t="s">
        <v>153</v>
      </c>
      <c r="F33" s="114"/>
      <c r="G33" s="114"/>
      <c r="H33" s="110" t="s">
        <v>152</v>
      </c>
      <c r="I33" s="110" t="s">
        <v>153</v>
      </c>
      <c r="J33" s="114"/>
      <c r="K33" s="114"/>
      <c r="L33" s="114" t="s">
        <v>93</v>
      </c>
      <c r="M33" s="110" t="s">
        <v>153</v>
      </c>
      <c r="N33" s="110"/>
      <c r="O33" s="110" t="s">
        <v>152</v>
      </c>
      <c r="P33" s="115"/>
      <c r="Q33" s="114" t="s">
        <v>135</v>
      </c>
    </row>
    <row r="34" spans="2:17" s="113" customFormat="1" ht="28" x14ac:dyDescent="0.15">
      <c r="B34" s="114"/>
      <c r="C34" s="114"/>
      <c r="D34" s="114"/>
      <c r="E34" s="114" t="s">
        <v>150</v>
      </c>
      <c r="F34" s="114" t="s">
        <v>151</v>
      </c>
      <c r="G34" s="114" t="s">
        <v>151</v>
      </c>
      <c r="H34" s="114"/>
      <c r="I34" s="114"/>
      <c r="J34" s="114" t="s">
        <v>150</v>
      </c>
      <c r="K34" s="114" t="s">
        <v>151</v>
      </c>
      <c r="L34" s="110" t="s">
        <v>92</v>
      </c>
      <c r="M34" s="114" t="s">
        <v>150</v>
      </c>
      <c r="N34" s="114" t="s">
        <v>143</v>
      </c>
      <c r="O34" s="114" t="s">
        <v>149</v>
      </c>
      <c r="P34" s="114" t="s">
        <v>148</v>
      </c>
      <c r="Q34" s="110" t="s">
        <v>133</v>
      </c>
    </row>
    <row r="35" spans="2:17" s="113" customFormat="1" ht="28" x14ac:dyDescent="0.15">
      <c r="B35" s="114"/>
      <c r="C35" s="114"/>
      <c r="D35" s="114"/>
      <c r="E35" s="110" t="s">
        <v>146</v>
      </c>
      <c r="F35" s="110" t="s">
        <v>147</v>
      </c>
      <c r="G35" s="110" t="s">
        <v>147</v>
      </c>
      <c r="H35" s="114"/>
      <c r="I35" s="114" t="s">
        <v>140</v>
      </c>
      <c r="J35" s="110" t="s">
        <v>146</v>
      </c>
      <c r="K35" s="110" t="s">
        <v>147</v>
      </c>
      <c r="L35" s="114" t="s">
        <v>135</v>
      </c>
      <c r="M35" s="110" t="s">
        <v>146</v>
      </c>
      <c r="N35" s="110" t="s">
        <v>139</v>
      </c>
      <c r="O35" s="110" t="s">
        <v>145</v>
      </c>
      <c r="P35" s="110" t="s">
        <v>104</v>
      </c>
      <c r="Q35" s="114" t="s">
        <v>143</v>
      </c>
    </row>
    <row r="36" spans="2:17" s="113" customFormat="1" ht="28" x14ac:dyDescent="0.15">
      <c r="B36" s="114"/>
      <c r="C36" s="114"/>
      <c r="D36" s="114"/>
      <c r="E36" s="114"/>
      <c r="F36" s="114" t="s">
        <v>93</v>
      </c>
      <c r="G36" s="114" t="s">
        <v>93</v>
      </c>
      <c r="H36" s="114"/>
      <c r="I36" s="110" t="s">
        <v>136</v>
      </c>
      <c r="J36" s="110"/>
      <c r="K36" s="114" t="s">
        <v>143</v>
      </c>
      <c r="L36" s="110" t="s">
        <v>133</v>
      </c>
      <c r="M36" s="114"/>
      <c r="N36" s="114" t="s">
        <v>142</v>
      </c>
      <c r="O36" s="117"/>
      <c r="P36" s="114" t="s">
        <v>105</v>
      </c>
      <c r="Q36" s="110" t="s">
        <v>139</v>
      </c>
    </row>
    <row r="37" spans="2:17" s="113" customFormat="1" ht="28" x14ac:dyDescent="0.15">
      <c r="B37" s="114"/>
      <c r="C37" s="114"/>
      <c r="D37" s="114"/>
      <c r="E37" s="114" t="s">
        <v>144</v>
      </c>
      <c r="F37" s="110" t="s">
        <v>92</v>
      </c>
      <c r="G37" s="110" t="s">
        <v>92</v>
      </c>
      <c r="H37" s="114"/>
      <c r="I37" s="114" t="s">
        <v>137</v>
      </c>
      <c r="J37" s="114" t="s">
        <v>125</v>
      </c>
      <c r="K37" s="110" t="s">
        <v>139</v>
      </c>
      <c r="L37" s="114"/>
      <c r="M37" s="114" t="s">
        <v>144</v>
      </c>
      <c r="N37" s="110" t="s">
        <v>138</v>
      </c>
      <c r="O37" s="117"/>
      <c r="P37" s="116" t="s">
        <v>101</v>
      </c>
      <c r="Q37" s="114" t="s">
        <v>142</v>
      </c>
    </row>
    <row r="38" spans="2:17" s="113" customFormat="1" ht="28" x14ac:dyDescent="0.15">
      <c r="B38" s="114"/>
      <c r="C38" s="114"/>
      <c r="D38" s="114"/>
      <c r="E38" s="110" t="s">
        <v>141</v>
      </c>
      <c r="F38" s="114"/>
      <c r="G38" s="114" t="s">
        <v>143</v>
      </c>
      <c r="H38" s="114"/>
      <c r="I38" s="110" t="s">
        <v>134</v>
      </c>
      <c r="J38" s="110" t="s">
        <v>122</v>
      </c>
      <c r="K38" s="114" t="s">
        <v>142</v>
      </c>
      <c r="L38" s="114" t="s">
        <v>123</v>
      </c>
      <c r="M38" s="110" t="s">
        <v>141</v>
      </c>
      <c r="N38" s="115"/>
      <c r="O38" s="110"/>
      <c r="P38" s="116" t="s">
        <v>99</v>
      </c>
      <c r="Q38" s="110" t="s">
        <v>138</v>
      </c>
    </row>
    <row r="39" spans="2:17" s="113" customFormat="1" ht="28" x14ac:dyDescent="0.15">
      <c r="B39" s="114"/>
      <c r="C39" s="114"/>
      <c r="D39" s="114"/>
      <c r="E39" s="114" t="s">
        <v>140</v>
      </c>
      <c r="F39" s="114" t="s">
        <v>131</v>
      </c>
      <c r="G39" s="110" t="s">
        <v>139</v>
      </c>
      <c r="H39" s="114"/>
      <c r="I39" s="114"/>
      <c r="J39" s="110" t="s">
        <v>119</v>
      </c>
      <c r="K39" s="110" t="s">
        <v>138</v>
      </c>
      <c r="L39" s="110" t="s">
        <v>120</v>
      </c>
      <c r="M39" s="114" t="s">
        <v>137</v>
      </c>
      <c r="N39" s="114" t="s">
        <v>129</v>
      </c>
      <c r="O39" s="110"/>
      <c r="P39" s="116" t="s">
        <v>235</v>
      </c>
      <c r="Q39" s="114" t="s">
        <v>129</v>
      </c>
    </row>
    <row r="40" spans="2:17" s="113" customFormat="1" ht="28" x14ac:dyDescent="0.15">
      <c r="B40" s="114"/>
      <c r="C40" s="114"/>
      <c r="D40" s="114"/>
      <c r="E40" s="110" t="s">
        <v>136</v>
      </c>
      <c r="F40" s="110" t="s">
        <v>128</v>
      </c>
      <c r="G40" s="114" t="s">
        <v>135</v>
      </c>
      <c r="H40" s="114"/>
      <c r="I40" s="114"/>
      <c r="J40" s="110" t="s">
        <v>117</v>
      </c>
      <c r="K40" s="114" t="s">
        <v>135</v>
      </c>
      <c r="L40" s="114"/>
      <c r="M40" s="110" t="s">
        <v>134</v>
      </c>
      <c r="N40" s="110" t="s">
        <v>127</v>
      </c>
      <c r="O40" s="110"/>
      <c r="P40" s="115"/>
      <c r="Q40" s="110" t="s">
        <v>127</v>
      </c>
    </row>
    <row r="41" spans="2:17" s="113" customFormat="1" ht="14" x14ac:dyDescent="0.15">
      <c r="B41" s="114"/>
      <c r="C41" s="114"/>
      <c r="D41" s="114"/>
      <c r="E41" s="114"/>
      <c r="F41" s="114"/>
      <c r="G41" s="110" t="s">
        <v>133</v>
      </c>
      <c r="H41" s="114"/>
      <c r="I41" s="114"/>
      <c r="J41" s="110" t="s">
        <v>115</v>
      </c>
      <c r="K41" s="110" t="s">
        <v>133</v>
      </c>
      <c r="L41" s="114" t="s">
        <v>114</v>
      </c>
      <c r="M41" s="114" t="s">
        <v>132</v>
      </c>
      <c r="N41" s="116" t="s">
        <v>126</v>
      </c>
      <c r="O41" s="110"/>
      <c r="P41" s="115"/>
      <c r="Q41" s="116" t="s">
        <v>126</v>
      </c>
    </row>
    <row r="42" spans="2:17" s="113" customFormat="1" ht="28" x14ac:dyDescent="0.15">
      <c r="B42" s="114"/>
      <c r="C42" s="114"/>
      <c r="D42" s="114"/>
      <c r="E42" s="114"/>
      <c r="F42" s="114" t="s">
        <v>124</v>
      </c>
      <c r="G42" s="114"/>
      <c r="H42" s="114"/>
      <c r="I42" s="114"/>
      <c r="J42" s="114" t="s">
        <v>132</v>
      </c>
      <c r="K42" s="114"/>
      <c r="L42" s="116" t="s">
        <v>111</v>
      </c>
      <c r="M42" s="110" t="s">
        <v>130</v>
      </c>
      <c r="N42" s="115"/>
      <c r="O42" s="115"/>
      <c r="P42" s="115"/>
      <c r="Q42" s="114" t="s">
        <v>123</v>
      </c>
    </row>
    <row r="43" spans="2:17" s="113" customFormat="1" ht="28" x14ac:dyDescent="0.15">
      <c r="B43" s="114"/>
      <c r="C43" s="114"/>
      <c r="D43" s="114"/>
      <c r="E43" s="114"/>
      <c r="F43" s="110" t="s">
        <v>121</v>
      </c>
      <c r="G43" s="114" t="s">
        <v>131</v>
      </c>
      <c r="H43" s="114"/>
      <c r="I43" s="114"/>
      <c r="J43" s="110" t="s">
        <v>130</v>
      </c>
      <c r="K43" s="114" t="s">
        <v>129</v>
      </c>
      <c r="L43" s="116" t="s">
        <v>108</v>
      </c>
      <c r="M43" s="115"/>
      <c r="N43" s="114" t="s">
        <v>113</v>
      </c>
      <c r="O43" s="115"/>
      <c r="P43" s="115"/>
      <c r="Q43" s="110" t="s">
        <v>120</v>
      </c>
    </row>
    <row r="44" spans="2:17" s="113" customFormat="1" ht="14" x14ac:dyDescent="0.15">
      <c r="B44" s="114"/>
      <c r="C44" s="114"/>
      <c r="D44" s="114"/>
      <c r="E44" s="114"/>
      <c r="F44" s="110" t="s">
        <v>118</v>
      </c>
      <c r="G44" s="110" t="s">
        <v>128</v>
      </c>
      <c r="H44" s="114"/>
      <c r="I44" s="114"/>
      <c r="J44" s="114"/>
      <c r="K44" s="110" t="s">
        <v>127</v>
      </c>
      <c r="L44" s="114"/>
      <c r="M44" s="110"/>
      <c r="N44" s="110" t="s">
        <v>110</v>
      </c>
      <c r="O44" s="115"/>
      <c r="P44" s="115"/>
      <c r="Q44" s="114" t="s">
        <v>103</v>
      </c>
    </row>
    <row r="45" spans="2:17" s="113" customFormat="1" ht="14" x14ac:dyDescent="0.15">
      <c r="B45" s="114"/>
      <c r="C45" s="114"/>
      <c r="D45" s="114"/>
      <c r="E45" s="114"/>
      <c r="F45" s="110" t="s">
        <v>116</v>
      </c>
      <c r="G45" s="110"/>
      <c r="H45" s="114"/>
      <c r="I45" s="114"/>
      <c r="J45" s="114"/>
      <c r="K45" s="116" t="s">
        <v>126</v>
      </c>
      <c r="L45" s="110"/>
      <c r="M45" s="115"/>
      <c r="N45" s="114" t="s">
        <v>125</v>
      </c>
      <c r="O45" s="115"/>
      <c r="P45" s="115"/>
      <c r="Q45" s="116" t="s">
        <v>100</v>
      </c>
    </row>
    <row r="46" spans="2:17" s="113" customFormat="1" ht="28" x14ac:dyDescent="0.15">
      <c r="B46" s="114"/>
      <c r="C46" s="114"/>
      <c r="D46" s="114"/>
      <c r="E46" s="114"/>
      <c r="F46" s="114"/>
      <c r="G46" s="114" t="s">
        <v>124</v>
      </c>
      <c r="H46" s="114"/>
      <c r="I46" s="114"/>
      <c r="J46" s="114"/>
      <c r="K46" s="114" t="s">
        <v>123</v>
      </c>
      <c r="L46" s="110"/>
      <c r="M46" s="115"/>
      <c r="N46" s="110" t="s">
        <v>122</v>
      </c>
      <c r="O46" s="115"/>
      <c r="P46" s="115"/>
      <c r="Q46" s="116" t="s">
        <v>98</v>
      </c>
    </row>
    <row r="47" spans="2:17" s="113" customFormat="1" ht="14" x14ac:dyDescent="0.15">
      <c r="B47" s="114"/>
      <c r="C47" s="114"/>
      <c r="D47" s="114"/>
      <c r="E47" s="114"/>
      <c r="F47" s="114"/>
      <c r="G47" s="110" t="s">
        <v>121</v>
      </c>
      <c r="H47" s="114"/>
      <c r="I47" s="114"/>
      <c r="J47" s="114"/>
      <c r="K47" s="110" t="s">
        <v>120</v>
      </c>
      <c r="L47" s="114"/>
      <c r="M47" s="115"/>
      <c r="N47" s="110" t="s">
        <v>119</v>
      </c>
      <c r="O47" s="115"/>
      <c r="P47" s="115"/>
      <c r="Q47" s="116" t="s">
        <v>96</v>
      </c>
    </row>
    <row r="48" spans="2:17" s="113" customFormat="1" ht="14" x14ac:dyDescent="0.15">
      <c r="B48" s="114"/>
      <c r="C48" s="114"/>
      <c r="D48" s="114"/>
      <c r="E48" s="114"/>
      <c r="F48" s="114"/>
      <c r="G48" s="110" t="s">
        <v>118</v>
      </c>
      <c r="H48" s="114"/>
      <c r="I48" s="114"/>
      <c r="J48" s="114"/>
      <c r="K48" s="114"/>
      <c r="L48" s="110"/>
      <c r="M48" s="115"/>
      <c r="N48" s="110" t="s">
        <v>117</v>
      </c>
      <c r="O48" s="115"/>
      <c r="P48" s="115"/>
      <c r="Q48" s="116" t="s">
        <v>94</v>
      </c>
    </row>
    <row r="49" spans="2:17" s="113" customFormat="1" ht="14" x14ac:dyDescent="0.15">
      <c r="B49" s="114"/>
      <c r="C49" s="114"/>
      <c r="D49" s="114"/>
      <c r="E49" s="114"/>
      <c r="F49" s="114"/>
      <c r="G49" s="110" t="s">
        <v>116</v>
      </c>
      <c r="H49" s="114"/>
      <c r="I49" s="114"/>
      <c r="J49" s="114"/>
      <c r="K49" s="114" t="s">
        <v>112</v>
      </c>
      <c r="L49" s="110"/>
      <c r="M49" s="115"/>
      <c r="N49" s="110" t="s">
        <v>115</v>
      </c>
      <c r="O49" s="115"/>
      <c r="P49" s="110"/>
      <c r="Q49" s="116" t="s">
        <v>178</v>
      </c>
    </row>
    <row r="50" spans="2:17" s="113" customFormat="1" ht="14" x14ac:dyDescent="0.15">
      <c r="B50" s="114"/>
      <c r="C50" s="114"/>
      <c r="D50" s="114"/>
      <c r="E50" s="114"/>
      <c r="F50" s="114"/>
      <c r="G50" s="114" t="s">
        <v>113</v>
      </c>
      <c r="H50" s="114"/>
      <c r="I50" s="114"/>
      <c r="J50" s="114"/>
      <c r="K50" s="110" t="s">
        <v>109</v>
      </c>
      <c r="L50" s="110"/>
      <c r="M50" s="115"/>
      <c r="N50" s="114" t="s">
        <v>112</v>
      </c>
      <c r="O50" s="115"/>
      <c r="P50" s="115"/>
      <c r="Q50" s="114" t="s">
        <v>114</v>
      </c>
    </row>
    <row r="51" spans="2:17" s="113" customFormat="1" ht="14" x14ac:dyDescent="0.15">
      <c r="B51" s="114"/>
      <c r="C51" s="114"/>
      <c r="D51" s="114"/>
      <c r="E51" s="114"/>
      <c r="F51" s="114"/>
      <c r="G51" s="110" t="s">
        <v>110</v>
      </c>
      <c r="H51" s="114"/>
      <c r="I51" s="114"/>
      <c r="J51" s="114"/>
      <c r="K51" s="110" t="s">
        <v>106</v>
      </c>
      <c r="L51" s="114"/>
      <c r="M51" s="115"/>
      <c r="N51" s="110" t="s">
        <v>109</v>
      </c>
      <c r="O51" s="115"/>
      <c r="P51" s="115"/>
      <c r="Q51" s="116" t="s">
        <v>111</v>
      </c>
    </row>
    <row r="52" spans="2:17" s="113" customFormat="1" ht="28" x14ac:dyDescent="0.15">
      <c r="B52" s="114"/>
      <c r="C52" s="114"/>
      <c r="D52" s="114"/>
      <c r="E52" s="114"/>
      <c r="F52" s="114"/>
      <c r="G52" s="114" t="s">
        <v>107</v>
      </c>
      <c r="H52" s="114"/>
      <c r="I52" s="114"/>
      <c r="J52" s="114"/>
      <c r="K52" s="110" t="s">
        <v>102</v>
      </c>
      <c r="L52" s="114"/>
      <c r="M52" s="115"/>
      <c r="N52" s="110" t="s">
        <v>106</v>
      </c>
      <c r="O52" s="115"/>
      <c r="P52" s="115"/>
      <c r="Q52" s="116" t="s">
        <v>108</v>
      </c>
    </row>
    <row r="53" spans="2:17" s="113" customFormat="1" ht="14" x14ac:dyDescent="0.15">
      <c r="B53" s="114"/>
      <c r="C53" s="114"/>
      <c r="D53" s="114"/>
      <c r="E53" s="114"/>
      <c r="F53" s="114"/>
      <c r="G53" s="110" t="s">
        <v>104</v>
      </c>
      <c r="H53" s="114"/>
      <c r="I53" s="114"/>
      <c r="J53" s="114"/>
      <c r="K53" s="114" t="s">
        <v>103</v>
      </c>
      <c r="L53" s="114"/>
      <c r="M53" s="115"/>
      <c r="N53" s="110" t="s">
        <v>102</v>
      </c>
      <c r="O53" s="115"/>
      <c r="P53" s="115"/>
      <c r="Q53" s="114" t="s">
        <v>105</v>
      </c>
    </row>
    <row r="54" spans="2:17" s="113" customFormat="1" ht="14" x14ac:dyDescent="0.15">
      <c r="B54" s="114"/>
      <c r="C54" s="114"/>
      <c r="D54" s="114"/>
      <c r="E54" s="114"/>
      <c r="F54" s="114"/>
      <c r="G54" s="110"/>
      <c r="H54" s="114"/>
      <c r="I54" s="114"/>
      <c r="J54" s="114"/>
      <c r="K54" s="116" t="s">
        <v>100</v>
      </c>
      <c r="L54" s="114"/>
      <c r="M54" s="115"/>
      <c r="N54" s="114" t="s">
        <v>97</v>
      </c>
      <c r="O54" s="115"/>
      <c r="P54" s="115"/>
      <c r="Q54" s="116" t="s">
        <v>101</v>
      </c>
    </row>
    <row r="55" spans="2:17" s="113" customFormat="1" x14ac:dyDescent="0.15">
      <c r="B55" s="114"/>
      <c r="C55" s="114"/>
      <c r="D55" s="114"/>
      <c r="E55" s="114"/>
      <c r="F55" s="114"/>
      <c r="G55" s="110"/>
      <c r="H55" s="114"/>
      <c r="I55" s="114"/>
      <c r="J55" s="114"/>
      <c r="K55" s="116" t="s">
        <v>98</v>
      </c>
      <c r="L55" s="114"/>
      <c r="M55" s="115"/>
      <c r="N55" s="116" t="s">
        <v>95</v>
      </c>
      <c r="O55" s="115"/>
      <c r="P55" s="115"/>
      <c r="Q55" s="116" t="s">
        <v>99</v>
      </c>
    </row>
    <row r="56" spans="2:17" s="113" customFormat="1" x14ac:dyDescent="0.15">
      <c r="B56" s="114"/>
      <c r="C56" s="114"/>
      <c r="D56" s="114"/>
      <c r="E56" s="114"/>
      <c r="F56" s="114"/>
      <c r="G56" s="110"/>
      <c r="H56" s="114"/>
      <c r="I56" s="114"/>
      <c r="J56" s="114"/>
      <c r="K56" s="116" t="s">
        <v>96</v>
      </c>
      <c r="L56" s="114"/>
      <c r="M56" s="115"/>
      <c r="N56" s="115"/>
      <c r="O56" s="115"/>
      <c r="P56" s="115"/>
      <c r="Q56" s="116" t="s">
        <v>235</v>
      </c>
    </row>
    <row r="57" spans="2:17" s="113" customFormat="1" ht="14" x14ac:dyDescent="0.15">
      <c r="B57" s="114"/>
      <c r="C57" s="114"/>
      <c r="D57" s="114"/>
      <c r="E57" s="114"/>
      <c r="F57" s="114"/>
      <c r="G57" s="110"/>
      <c r="H57" s="114"/>
      <c r="I57" s="114"/>
      <c r="J57" s="114"/>
      <c r="K57" s="116" t="s">
        <v>94</v>
      </c>
      <c r="L57" s="114"/>
      <c r="M57" s="115"/>
      <c r="N57" s="115"/>
      <c r="O57" s="115"/>
      <c r="P57" s="115"/>
      <c r="Q57" s="114" t="s">
        <v>97</v>
      </c>
    </row>
    <row r="58" spans="2:17" x14ac:dyDescent="0.15">
      <c r="B58" s="112"/>
      <c r="C58" s="112"/>
      <c r="D58" s="112"/>
      <c r="E58" s="112"/>
      <c r="F58" s="112"/>
      <c r="G58" s="112"/>
      <c r="H58" s="112"/>
      <c r="I58" s="112"/>
      <c r="J58" s="112"/>
      <c r="K58" s="116" t="s">
        <v>178</v>
      </c>
      <c r="L58" s="112"/>
      <c r="M58" s="111"/>
      <c r="N58" s="111"/>
      <c r="O58" s="111"/>
      <c r="P58" s="111"/>
      <c r="Q58" s="116" t="s">
        <v>95</v>
      </c>
    </row>
    <row r="59" spans="2:17" ht="28" x14ac:dyDescent="0.15"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Q59" s="114" t="s">
        <v>93</v>
      </c>
    </row>
    <row r="60" spans="2:17" ht="14" x14ac:dyDescent="0.15"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Q60" s="110" t="s">
        <v>92</v>
      </c>
    </row>
    <row r="61" spans="2:17" x14ac:dyDescent="0.15"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</row>
    <row r="62" spans="2:17" x14ac:dyDescent="0.15"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O62" s="109"/>
      <c r="P62" s="109"/>
    </row>
    <row r="63" spans="2:17" x14ac:dyDescent="0.15"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O63" s="109"/>
      <c r="P63" s="109"/>
    </row>
    <row r="64" spans="2:17" x14ac:dyDescent="0.15"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</row>
    <row r="65" spans="2:16" x14ac:dyDescent="0.15"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</row>
    <row r="66" spans="2:16" x14ac:dyDescent="0.15"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</row>
    <row r="67" spans="2:16" x14ac:dyDescent="0.15"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</row>
    <row r="68" spans="2:16" x14ac:dyDescent="0.15"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</row>
    <row r="69" spans="2:16" x14ac:dyDescent="0.15"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</row>
    <row r="70" spans="2:16" x14ac:dyDescent="0.15"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</row>
    <row r="71" spans="2:16" x14ac:dyDescent="0.15"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</row>
    <row r="72" spans="2:16" x14ac:dyDescent="0.15"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</row>
    <row r="73" spans="2:16" x14ac:dyDescent="0.15"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</row>
    <row r="74" spans="2:16" x14ac:dyDescent="0.15"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</row>
    <row r="75" spans="2:16" x14ac:dyDescent="0.15"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</row>
    <row r="76" spans="2:16" x14ac:dyDescent="0.15"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</row>
    <row r="77" spans="2:16" x14ac:dyDescent="0.15"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</row>
    <row r="78" spans="2:16" x14ac:dyDescent="0.15"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</row>
    <row r="79" spans="2:16" x14ac:dyDescent="0.15"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</row>
    <row r="80" spans="2:16" x14ac:dyDescent="0.15"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</row>
    <row r="81" spans="2:16" x14ac:dyDescent="0.15"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</row>
    <row r="82" spans="2:16" x14ac:dyDescent="0.15"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</row>
    <row r="83" spans="2:16" x14ac:dyDescent="0.15"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</row>
    <row r="84" spans="2:16" x14ac:dyDescent="0.15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</row>
    <row r="85" spans="2:16" x14ac:dyDescent="0.1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</row>
    <row r="86" spans="2:16" x14ac:dyDescent="0.15"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</row>
    <row r="87" spans="2:16" x14ac:dyDescent="0.15"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</row>
    <row r="88" spans="2:16" x14ac:dyDescent="0.15"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</row>
    <row r="89" spans="2:16" x14ac:dyDescent="0.1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</row>
    <row r="90" spans="2:16" x14ac:dyDescent="0.15"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</row>
    <row r="91" spans="2:16" x14ac:dyDescent="0.15"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</row>
    <row r="92" spans="2:16" x14ac:dyDescent="0.15"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</row>
    <row r="93" spans="2:16" x14ac:dyDescent="0.15"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</row>
    <row r="94" spans="2:16" x14ac:dyDescent="0.15"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</row>
    <row r="95" spans="2:16" x14ac:dyDescent="0.15"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</row>
    <row r="96" spans="2:16" x14ac:dyDescent="0.15"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</row>
    <row r="97" spans="2:16" x14ac:dyDescent="0.15"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</row>
    <row r="98" spans="2:16" x14ac:dyDescent="0.15"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</row>
    <row r="99" spans="2:16" x14ac:dyDescent="0.15"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</row>
    <row r="100" spans="2:16" x14ac:dyDescent="0.15"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</row>
    <row r="101" spans="2:16" x14ac:dyDescent="0.15"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</row>
    <row r="102" spans="2:16" x14ac:dyDescent="0.15"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</row>
    <row r="103" spans="2:16" x14ac:dyDescent="0.15"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</row>
    <row r="104" spans="2:16" x14ac:dyDescent="0.15"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</row>
    <row r="105" spans="2:16" x14ac:dyDescent="0.15"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</row>
    <row r="106" spans="2:16" x14ac:dyDescent="0.15"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</row>
    <row r="107" spans="2:16" x14ac:dyDescent="0.15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</row>
    <row r="108" spans="2:16" x14ac:dyDescent="0.15"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</row>
    <row r="109" spans="2:16" x14ac:dyDescent="0.15"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</row>
    <row r="110" spans="2:16" x14ac:dyDescent="0.15"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</row>
    <row r="111" spans="2:16" x14ac:dyDescent="0.15"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</row>
    <row r="112" spans="2:16" x14ac:dyDescent="0.15"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</row>
    <row r="113" spans="2:16" x14ac:dyDescent="0.15"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</row>
    <row r="114" spans="2:16" x14ac:dyDescent="0.15"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</row>
    <row r="115" spans="2:16" x14ac:dyDescent="0.15"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</row>
    <row r="116" spans="2:16" x14ac:dyDescent="0.15"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</row>
    <row r="117" spans="2:16" x14ac:dyDescent="0.15"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</row>
    <row r="118" spans="2:16" x14ac:dyDescent="0.15"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</row>
    <row r="119" spans="2:16" x14ac:dyDescent="0.15"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</row>
    <row r="120" spans="2:16" x14ac:dyDescent="0.15"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</row>
    <row r="121" spans="2:16" x14ac:dyDescent="0.15"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</row>
    <row r="122" spans="2:16" x14ac:dyDescent="0.15"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</row>
    <row r="123" spans="2:16" x14ac:dyDescent="0.15"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</row>
    <row r="124" spans="2:16" x14ac:dyDescent="0.15"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</row>
    <row r="125" spans="2:16" x14ac:dyDescent="0.15"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</row>
    <row r="126" spans="2:16" x14ac:dyDescent="0.15"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</row>
    <row r="127" spans="2:16" x14ac:dyDescent="0.1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</row>
    <row r="128" spans="2:16" x14ac:dyDescent="0.1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</row>
    <row r="129" spans="2:16" x14ac:dyDescent="0.1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</row>
    <row r="130" spans="2:16" x14ac:dyDescent="0.1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</row>
    <row r="131" spans="2:16" x14ac:dyDescent="0.1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</row>
    <row r="132" spans="2:16" x14ac:dyDescent="0.1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</row>
    <row r="133" spans="2:16" x14ac:dyDescent="0.15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</row>
    <row r="134" spans="2:16" x14ac:dyDescent="0.15"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</row>
    <row r="135" spans="2:16" x14ac:dyDescent="0.15"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</row>
    <row r="136" spans="2:16" x14ac:dyDescent="0.15"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</row>
    <row r="137" spans="2:16" x14ac:dyDescent="0.15"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</row>
    <row r="138" spans="2:16" x14ac:dyDescent="0.15"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</row>
    <row r="139" spans="2:16" x14ac:dyDescent="0.15"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</row>
    <row r="140" spans="2:16" x14ac:dyDescent="0.15"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</row>
    <row r="141" spans="2:16" x14ac:dyDescent="0.15"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</row>
    <row r="142" spans="2:16" x14ac:dyDescent="0.15"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</row>
    <row r="143" spans="2:16" x14ac:dyDescent="0.15"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</row>
    <row r="144" spans="2:16" x14ac:dyDescent="0.15"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</row>
    <row r="145" spans="2:16" x14ac:dyDescent="0.15"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</row>
    <row r="146" spans="2:16" x14ac:dyDescent="0.15"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</row>
    <row r="147" spans="2:16" x14ac:dyDescent="0.15"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</row>
    <row r="148" spans="2:16" x14ac:dyDescent="0.15"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</row>
    <row r="149" spans="2:16" x14ac:dyDescent="0.15"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</row>
    <row r="150" spans="2:16" x14ac:dyDescent="0.15"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</row>
    <row r="151" spans="2:16" x14ac:dyDescent="0.15"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</row>
    <row r="152" spans="2:16" x14ac:dyDescent="0.15"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</row>
    <row r="153" spans="2:16" x14ac:dyDescent="0.15"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</row>
    <row r="154" spans="2:16" x14ac:dyDescent="0.15"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</row>
    <row r="155" spans="2:16" x14ac:dyDescent="0.15"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</row>
    <row r="156" spans="2:16" x14ac:dyDescent="0.15"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</row>
    <row r="157" spans="2:16" x14ac:dyDescent="0.15"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</row>
    <row r="158" spans="2:16" x14ac:dyDescent="0.15"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</row>
    <row r="159" spans="2:16" x14ac:dyDescent="0.15"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</row>
    <row r="160" spans="2:16" x14ac:dyDescent="0.15"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</row>
    <row r="161" spans="2:16" x14ac:dyDescent="0.15"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</row>
    <row r="162" spans="2:16" x14ac:dyDescent="0.15"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</row>
    <row r="163" spans="2:16" x14ac:dyDescent="0.15"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</row>
    <row r="164" spans="2:16" x14ac:dyDescent="0.15"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</row>
    <row r="165" spans="2:16" x14ac:dyDescent="0.15"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</row>
    <row r="166" spans="2:16" x14ac:dyDescent="0.1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</row>
    <row r="167" spans="2:16" x14ac:dyDescent="0.1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</row>
    <row r="168" spans="2:16" x14ac:dyDescent="0.1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</row>
    <row r="169" spans="2:16" x14ac:dyDescent="0.1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</row>
    <row r="170" spans="2:16" x14ac:dyDescent="0.1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</row>
    <row r="171" spans="2:16" x14ac:dyDescent="0.1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</row>
    <row r="172" spans="2:16" x14ac:dyDescent="0.1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</row>
    <row r="173" spans="2:16" x14ac:dyDescent="0.15"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</row>
    <row r="174" spans="2:16" x14ac:dyDescent="0.15"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</row>
    <row r="175" spans="2:16" x14ac:dyDescent="0.15"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</row>
    <row r="176" spans="2:16" x14ac:dyDescent="0.15"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</row>
    <row r="177" spans="2:16" x14ac:dyDescent="0.15"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</row>
    <row r="178" spans="2:16" x14ac:dyDescent="0.15"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</row>
    <row r="179" spans="2:16" x14ac:dyDescent="0.15"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</row>
    <row r="180" spans="2:16" x14ac:dyDescent="0.15"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</row>
    <row r="181" spans="2:16" x14ac:dyDescent="0.15"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</row>
    <row r="182" spans="2:16" x14ac:dyDescent="0.15"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</row>
    <row r="183" spans="2:16" x14ac:dyDescent="0.15"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</row>
    <row r="184" spans="2:16" x14ac:dyDescent="0.15"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</row>
    <row r="185" spans="2:16" x14ac:dyDescent="0.15"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</row>
    <row r="186" spans="2:16" x14ac:dyDescent="0.15"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</row>
    <row r="187" spans="2:16" x14ac:dyDescent="0.15"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</row>
    <row r="188" spans="2:16" x14ac:dyDescent="0.15"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</row>
    <row r="189" spans="2:16" x14ac:dyDescent="0.15"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</row>
    <row r="190" spans="2:16" x14ac:dyDescent="0.15"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</row>
    <row r="191" spans="2:16" x14ac:dyDescent="0.15"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</row>
    <row r="192" spans="2:16" x14ac:dyDescent="0.15"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</row>
    <row r="193" spans="2:16" x14ac:dyDescent="0.15"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</row>
    <row r="194" spans="2:16" x14ac:dyDescent="0.15"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</row>
    <row r="195" spans="2:16" x14ac:dyDescent="0.15"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</row>
    <row r="196" spans="2:16" x14ac:dyDescent="0.15"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</row>
    <row r="197" spans="2:16" x14ac:dyDescent="0.15"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</row>
    <row r="198" spans="2:16" x14ac:dyDescent="0.15"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</row>
    <row r="199" spans="2:16" x14ac:dyDescent="0.15"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</row>
    <row r="200" spans="2:16" x14ac:dyDescent="0.15"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</row>
    <row r="201" spans="2:16" x14ac:dyDescent="0.15"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</row>
    <row r="202" spans="2:16" x14ac:dyDescent="0.15"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</row>
    <row r="203" spans="2:16" x14ac:dyDescent="0.15"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</row>
    <row r="204" spans="2:16" x14ac:dyDescent="0.15"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</row>
    <row r="205" spans="2:16" x14ac:dyDescent="0.15"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</row>
    <row r="206" spans="2:16" x14ac:dyDescent="0.1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</row>
    <row r="207" spans="2:16" x14ac:dyDescent="0.15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</row>
    <row r="208" spans="2:16" x14ac:dyDescent="0.15"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</row>
    <row r="209" spans="2:16" x14ac:dyDescent="0.15"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</row>
    <row r="210" spans="2:16" x14ac:dyDescent="0.15"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</row>
    <row r="211" spans="2:16" x14ac:dyDescent="0.15"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</row>
    <row r="212" spans="2:16" x14ac:dyDescent="0.15"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</row>
    <row r="213" spans="2:16" x14ac:dyDescent="0.15"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</row>
    <row r="214" spans="2:16" x14ac:dyDescent="0.15"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</row>
    <row r="215" spans="2:16" x14ac:dyDescent="0.15"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</row>
    <row r="216" spans="2:16" x14ac:dyDescent="0.15"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</row>
    <row r="217" spans="2:16" x14ac:dyDescent="0.15"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</row>
    <row r="218" spans="2:16" x14ac:dyDescent="0.15"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</row>
    <row r="219" spans="2:16" x14ac:dyDescent="0.15"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</row>
    <row r="220" spans="2:16" x14ac:dyDescent="0.15"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</row>
    <row r="221" spans="2:16" x14ac:dyDescent="0.15"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</row>
    <row r="222" spans="2:16" x14ac:dyDescent="0.15"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</row>
    <row r="223" spans="2:16" x14ac:dyDescent="0.15"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</row>
    <row r="224" spans="2:16" x14ac:dyDescent="0.15"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</row>
    <row r="225" spans="2:16" x14ac:dyDescent="0.15"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</row>
    <row r="226" spans="2:16" x14ac:dyDescent="0.15"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</row>
    <row r="227" spans="2:16" x14ac:dyDescent="0.15"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</row>
    <row r="228" spans="2:16" x14ac:dyDescent="0.15"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</row>
    <row r="229" spans="2:16" x14ac:dyDescent="0.15"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</row>
    <row r="230" spans="2:16" x14ac:dyDescent="0.15"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</row>
    <row r="231" spans="2:16" x14ac:dyDescent="0.15"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</row>
    <row r="232" spans="2:16" x14ac:dyDescent="0.15"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</row>
    <row r="233" spans="2:16" x14ac:dyDescent="0.15"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</row>
    <row r="234" spans="2:16" x14ac:dyDescent="0.15"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</row>
    <row r="235" spans="2:16" x14ac:dyDescent="0.15"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</row>
    <row r="236" spans="2:16" x14ac:dyDescent="0.15"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</row>
    <row r="237" spans="2:16" x14ac:dyDescent="0.15"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</row>
    <row r="238" spans="2:16" x14ac:dyDescent="0.15"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</row>
    <row r="239" spans="2:16" x14ac:dyDescent="0.15"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</row>
    <row r="240" spans="2:16" x14ac:dyDescent="0.15"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</row>
    <row r="241" spans="2:16" x14ac:dyDescent="0.15"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</row>
    <row r="242" spans="2:16" x14ac:dyDescent="0.1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</row>
    <row r="243" spans="2:16" x14ac:dyDescent="0.1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</row>
    <row r="244" spans="2:16" x14ac:dyDescent="0.1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</row>
    <row r="245" spans="2:16" x14ac:dyDescent="0.1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</row>
    <row r="246" spans="2:16" x14ac:dyDescent="0.1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</row>
    <row r="247" spans="2:16" x14ac:dyDescent="0.1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</row>
    <row r="248" spans="2:16" x14ac:dyDescent="0.1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</row>
    <row r="249" spans="2:16" x14ac:dyDescent="0.1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</row>
    <row r="250" spans="2:16" x14ac:dyDescent="0.1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</row>
    <row r="251" spans="2:16" x14ac:dyDescent="0.1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</row>
    <row r="252" spans="2:16" x14ac:dyDescent="0.1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</row>
    <row r="253" spans="2:16" x14ac:dyDescent="0.1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</row>
    <row r="254" spans="2:16" x14ac:dyDescent="0.1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</row>
    <row r="255" spans="2:16" x14ac:dyDescent="0.1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</row>
    <row r="256" spans="2:16" x14ac:dyDescent="0.1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</row>
    <row r="257" spans="2:16" x14ac:dyDescent="0.1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</row>
    <row r="258" spans="2:16" x14ac:dyDescent="0.1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</row>
    <row r="259" spans="2:16" x14ac:dyDescent="0.1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</row>
    <row r="260" spans="2:16" x14ac:dyDescent="0.1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</row>
    <row r="261" spans="2:16" x14ac:dyDescent="0.1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</row>
    <row r="262" spans="2:16" x14ac:dyDescent="0.1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</row>
    <row r="263" spans="2:16" x14ac:dyDescent="0.1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</row>
    <row r="264" spans="2:16" x14ac:dyDescent="0.1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</row>
    <row r="265" spans="2:16" x14ac:dyDescent="0.1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</row>
    <row r="266" spans="2:16" x14ac:dyDescent="0.1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</row>
    <row r="267" spans="2:16" x14ac:dyDescent="0.1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</row>
    <row r="268" spans="2:16" x14ac:dyDescent="0.1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</row>
    <row r="269" spans="2:16" x14ac:dyDescent="0.1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</row>
    <row r="270" spans="2:16" x14ac:dyDescent="0.1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</row>
    <row r="271" spans="2:16" x14ac:dyDescent="0.1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</row>
    <row r="272" spans="2:16" x14ac:dyDescent="0.1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</row>
    <row r="273" spans="2:16" x14ac:dyDescent="0.1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</row>
    <row r="274" spans="2:16" x14ac:dyDescent="0.1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</row>
    <row r="275" spans="2:16" x14ac:dyDescent="0.1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</row>
    <row r="276" spans="2:16" x14ac:dyDescent="0.1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</row>
    <row r="277" spans="2:16" x14ac:dyDescent="0.15"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</row>
    <row r="278" spans="2:16" x14ac:dyDescent="0.15"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</row>
    <row r="279" spans="2:16" x14ac:dyDescent="0.15"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</row>
    <row r="280" spans="2:16" x14ac:dyDescent="0.15"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</row>
    <row r="281" spans="2:16" x14ac:dyDescent="0.15"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</row>
    <row r="282" spans="2:16" x14ac:dyDescent="0.15"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</row>
    <row r="283" spans="2:16" x14ac:dyDescent="0.15"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</row>
    <row r="284" spans="2:16" x14ac:dyDescent="0.15"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</row>
    <row r="285" spans="2:16" x14ac:dyDescent="0.15"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</row>
    <row r="286" spans="2:16" x14ac:dyDescent="0.15"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</row>
    <row r="287" spans="2:16" x14ac:dyDescent="0.15"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</row>
    <row r="288" spans="2:16" x14ac:dyDescent="0.15"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</row>
    <row r="289" spans="2:16" x14ac:dyDescent="0.15"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</row>
    <row r="290" spans="2:16" x14ac:dyDescent="0.15"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</row>
    <row r="291" spans="2:16" x14ac:dyDescent="0.15"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</row>
    <row r="292" spans="2:16" x14ac:dyDescent="0.15"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</row>
    <row r="293" spans="2:16" x14ac:dyDescent="0.15"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</row>
    <row r="294" spans="2:16" x14ac:dyDescent="0.15"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</row>
    <row r="295" spans="2:16" x14ac:dyDescent="0.15"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</row>
    <row r="296" spans="2:16" x14ac:dyDescent="0.15"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</row>
    <row r="297" spans="2:16" x14ac:dyDescent="0.15"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</row>
    <row r="298" spans="2:16" x14ac:dyDescent="0.15"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</row>
    <row r="299" spans="2:16" x14ac:dyDescent="0.15"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</row>
    <row r="300" spans="2:16" x14ac:dyDescent="0.15"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</row>
    <row r="301" spans="2:16" x14ac:dyDescent="0.15"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</row>
    <row r="302" spans="2:16" x14ac:dyDescent="0.15"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</row>
    <row r="303" spans="2:16" x14ac:dyDescent="0.15"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</row>
    <row r="304" spans="2:16" x14ac:dyDescent="0.15"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</row>
    <row r="305" spans="2:16" x14ac:dyDescent="0.15"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</row>
    <row r="306" spans="2:16" x14ac:dyDescent="0.15"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</row>
    <row r="307" spans="2:16" x14ac:dyDescent="0.15"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</row>
    <row r="308" spans="2:16" x14ac:dyDescent="0.15"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</row>
    <row r="309" spans="2:16" x14ac:dyDescent="0.15"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</row>
    <row r="310" spans="2:16" x14ac:dyDescent="0.15"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</row>
    <row r="311" spans="2:16" x14ac:dyDescent="0.15"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</row>
    <row r="312" spans="2:16" x14ac:dyDescent="0.15"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</row>
    <row r="313" spans="2:16" x14ac:dyDescent="0.15"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</row>
    <row r="314" spans="2:16" x14ac:dyDescent="0.15"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</row>
    <row r="315" spans="2:16" x14ac:dyDescent="0.15"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</row>
    <row r="316" spans="2:16" x14ac:dyDescent="0.15"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</row>
    <row r="317" spans="2:16" x14ac:dyDescent="0.15"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</row>
    <row r="318" spans="2:16" x14ac:dyDescent="0.15"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</row>
    <row r="319" spans="2:16" x14ac:dyDescent="0.15"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</row>
    <row r="320" spans="2:16" x14ac:dyDescent="0.15"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</row>
    <row r="321" spans="2:16" x14ac:dyDescent="0.15"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</row>
    <row r="322" spans="2:16" x14ac:dyDescent="0.15"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</row>
    <row r="323" spans="2:16" x14ac:dyDescent="0.15"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</row>
    <row r="324" spans="2:16" x14ac:dyDescent="0.15"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</row>
    <row r="325" spans="2:16" x14ac:dyDescent="0.15"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</row>
    <row r="326" spans="2:16" x14ac:dyDescent="0.15"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</row>
    <row r="327" spans="2:16" x14ac:dyDescent="0.15"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</row>
    <row r="328" spans="2:16" x14ac:dyDescent="0.15"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</row>
    <row r="329" spans="2:16" x14ac:dyDescent="0.15"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</row>
    <row r="330" spans="2:16" x14ac:dyDescent="0.15"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</row>
    <row r="331" spans="2:16" x14ac:dyDescent="0.15"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</row>
    <row r="332" spans="2:16" x14ac:dyDescent="0.15"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</row>
    <row r="333" spans="2:16" x14ac:dyDescent="0.15"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</row>
    <row r="334" spans="2:16" x14ac:dyDescent="0.15"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</row>
    <row r="335" spans="2:16" x14ac:dyDescent="0.15"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</row>
    <row r="336" spans="2:16" x14ac:dyDescent="0.15"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</row>
    <row r="337" spans="2:16" x14ac:dyDescent="0.15"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</row>
    <row r="338" spans="2:16" x14ac:dyDescent="0.15"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</row>
    <row r="339" spans="2:16" x14ac:dyDescent="0.15"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</row>
    <row r="340" spans="2:16" x14ac:dyDescent="0.15"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</row>
    <row r="341" spans="2:16" x14ac:dyDescent="0.15"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</row>
    <row r="342" spans="2:16" x14ac:dyDescent="0.15"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</row>
    <row r="343" spans="2:16" x14ac:dyDescent="0.15"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</row>
    <row r="344" spans="2:16" x14ac:dyDescent="0.15"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</row>
    <row r="345" spans="2:16" x14ac:dyDescent="0.15"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</row>
    <row r="346" spans="2:16" x14ac:dyDescent="0.15"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</row>
    <row r="347" spans="2:16" x14ac:dyDescent="0.15"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</row>
    <row r="348" spans="2:16" x14ac:dyDescent="0.15"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</row>
    <row r="349" spans="2:16" x14ac:dyDescent="0.15"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</row>
    <row r="350" spans="2:16" x14ac:dyDescent="0.15"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</row>
    <row r="351" spans="2:16" x14ac:dyDescent="0.15"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</row>
    <row r="352" spans="2:16" x14ac:dyDescent="0.15"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</row>
    <row r="353" spans="2:16" x14ac:dyDescent="0.15"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</row>
    <row r="354" spans="2:16" x14ac:dyDescent="0.15"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</row>
    <row r="355" spans="2:16" x14ac:dyDescent="0.15"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</row>
    <row r="356" spans="2:16" x14ac:dyDescent="0.15"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</row>
    <row r="357" spans="2:16" x14ac:dyDescent="0.15"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</row>
    <row r="358" spans="2:16" x14ac:dyDescent="0.15"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</row>
    <row r="359" spans="2:16" x14ac:dyDescent="0.15"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</row>
    <row r="360" spans="2:16" x14ac:dyDescent="0.15"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</row>
    <row r="361" spans="2:16" x14ac:dyDescent="0.15"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</row>
    <row r="362" spans="2:16" x14ac:dyDescent="0.15"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</row>
    <row r="363" spans="2:16" x14ac:dyDescent="0.15"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</row>
    <row r="364" spans="2:16" x14ac:dyDescent="0.15"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</row>
    <row r="365" spans="2:16" x14ac:dyDescent="0.15"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</row>
    <row r="366" spans="2:16" x14ac:dyDescent="0.15"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</row>
    <row r="367" spans="2:16" x14ac:dyDescent="0.15"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</row>
    <row r="368" spans="2:16" x14ac:dyDescent="0.15"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</row>
    <row r="369" spans="2:16" x14ac:dyDescent="0.15"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</row>
    <row r="370" spans="2:16" x14ac:dyDescent="0.15"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</row>
    <row r="371" spans="2:16" x14ac:dyDescent="0.15"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</row>
    <row r="372" spans="2:16" x14ac:dyDescent="0.15"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</row>
    <row r="373" spans="2:16" x14ac:dyDescent="0.15"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</row>
    <row r="374" spans="2:16" x14ac:dyDescent="0.15"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</row>
    <row r="375" spans="2:16" x14ac:dyDescent="0.15"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</row>
    <row r="376" spans="2:16" x14ac:dyDescent="0.15"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</row>
    <row r="377" spans="2:16" x14ac:dyDescent="0.15"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</row>
    <row r="378" spans="2:16" x14ac:dyDescent="0.15"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</row>
    <row r="379" spans="2:16" x14ac:dyDescent="0.15"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</row>
    <row r="380" spans="2:16" x14ac:dyDescent="0.15"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</row>
    <row r="381" spans="2:16" x14ac:dyDescent="0.15"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</row>
    <row r="382" spans="2:16" x14ac:dyDescent="0.15"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</row>
    <row r="383" spans="2:16" x14ac:dyDescent="0.15"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</row>
    <row r="384" spans="2:16" x14ac:dyDescent="0.15"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</row>
    <row r="385" spans="2:16" x14ac:dyDescent="0.15"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</row>
    <row r="386" spans="2:16" x14ac:dyDescent="0.15"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</row>
    <row r="387" spans="2:16" x14ac:dyDescent="0.15"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</row>
    <row r="388" spans="2:16" x14ac:dyDescent="0.15"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</row>
    <row r="389" spans="2:16" x14ac:dyDescent="0.15"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</row>
    <row r="390" spans="2:16" x14ac:dyDescent="0.15"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</row>
    <row r="391" spans="2:16" x14ac:dyDescent="0.15"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</row>
    <row r="392" spans="2:16" x14ac:dyDescent="0.15"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</row>
    <row r="393" spans="2:16" x14ac:dyDescent="0.15"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</row>
    <row r="394" spans="2:16" x14ac:dyDescent="0.15"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</row>
    <row r="395" spans="2:16" x14ac:dyDescent="0.15"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</row>
    <row r="396" spans="2:16" x14ac:dyDescent="0.15"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</row>
    <row r="397" spans="2:16" x14ac:dyDescent="0.15"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</row>
    <row r="398" spans="2:16" x14ac:dyDescent="0.15"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</row>
    <row r="399" spans="2:16" x14ac:dyDescent="0.15"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</row>
    <row r="400" spans="2:16" x14ac:dyDescent="0.15"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</row>
    <row r="401" spans="2:16" x14ac:dyDescent="0.15"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</row>
    <row r="402" spans="2:16" x14ac:dyDescent="0.15"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</row>
    <row r="403" spans="2:16" x14ac:dyDescent="0.15"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</row>
    <row r="404" spans="2:16" x14ac:dyDescent="0.15"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</row>
    <row r="405" spans="2:16" x14ac:dyDescent="0.15"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</row>
    <row r="406" spans="2:16" x14ac:dyDescent="0.15"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</row>
    <row r="407" spans="2:16" x14ac:dyDescent="0.15"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</row>
    <row r="408" spans="2:16" x14ac:dyDescent="0.15"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</row>
    <row r="409" spans="2:16" x14ac:dyDescent="0.15"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</row>
    <row r="410" spans="2:16" x14ac:dyDescent="0.15"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</row>
    <row r="411" spans="2:16" x14ac:dyDescent="0.15"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</row>
    <row r="412" spans="2:16" x14ac:dyDescent="0.15"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</row>
    <row r="413" spans="2:16" x14ac:dyDescent="0.15"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</row>
    <row r="414" spans="2:16" x14ac:dyDescent="0.15"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</row>
    <row r="415" spans="2:16" x14ac:dyDescent="0.15"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</row>
    <row r="416" spans="2:16" x14ac:dyDescent="0.15"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</row>
    <row r="417" spans="2:16" x14ac:dyDescent="0.15"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</row>
    <row r="418" spans="2:16" x14ac:dyDescent="0.15"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</row>
    <row r="419" spans="2:16" x14ac:dyDescent="0.15"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</row>
    <row r="420" spans="2:16" x14ac:dyDescent="0.15"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</row>
    <row r="421" spans="2:16" x14ac:dyDescent="0.15"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</row>
    <row r="422" spans="2:16" x14ac:dyDescent="0.15"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</row>
    <row r="423" spans="2:16" x14ac:dyDescent="0.15"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</row>
    <row r="424" spans="2:16" x14ac:dyDescent="0.15"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</row>
    <row r="425" spans="2:16" x14ac:dyDescent="0.15"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</row>
    <row r="426" spans="2:16" x14ac:dyDescent="0.15"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</row>
    <row r="427" spans="2:16" x14ac:dyDescent="0.15"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</row>
    <row r="428" spans="2:16" x14ac:dyDescent="0.15"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</row>
    <row r="429" spans="2:16" x14ac:dyDescent="0.15"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</row>
    <row r="430" spans="2:16" x14ac:dyDescent="0.15"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</row>
    <row r="431" spans="2:16" x14ac:dyDescent="0.15"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</row>
    <row r="432" spans="2:16" x14ac:dyDescent="0.15"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</row>
    <row r="433" spans="2:16" x14ac:dyDescent="0.15"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</row>
    <row r="434" spans="2:16" x14ac:dyDescent="0.15"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</row>
    <row r="435" spans="2:16" x14ac:dyDescent="0.15"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</row>
    <row r="436" spans="2:16" x14ac:dyDescent="0.15"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</row>
    <row r="437" spans="2:16" x14ac:dyDescent="0.15"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</row>
    <row r="438" spans="2:16" x14ac:dyDescent="0.15"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</row>
    <row r="439" spans="2:16" x14ac:dyDescent="0.15"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</row>
    <row r="440" spans="2:16" x14ac:dyDescent="0.15"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</row>
    <row r="441" spans="2:16" x14ac:dyDescent="0.15"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</row>
    <row r="442" spans="2:16" x14ac:dyDescent="0.15"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</row>
    <row r="443" spans="2:16" x14ac:dyDescent="0.15"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</row>
    <row r="444" spans="2:16" x14ac:dyDescent="0.15"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</row>
    <row r="445" spans="2:16" x14ac:dyDescent="0.15"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</row>
    <row r="446" spans="2:16" x14ac:dyDescent="0.15"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</row>
    <row r="447" spans="2:16" x14ac:dyDescent="0.15"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</row>
    <row r="448" spans="2:16" x14ac:dyDescent="0.15"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</row>
    <row r="449" spans="2:16" x14ac:dyDescent="0.15"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</row>
    <row r="450" spans="2:16" x14ac:dyDescent="0.15"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</row>
    <row r="451" spans="2:16" x14ac:dyDescent="0.15"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</row>
    <row r="452" spans="2:16" x14ac:dyDescent="0.15"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</row>
    <row r="453" spans="2:16" x14ac:dyDescent="0.15"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</row>
    <row r="454" spans="2:16" x14ac:dyDescent="0.15"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</row>
    <row r="455" spans="2:16" x14ac:dyDescent="0.15"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</row>
    <row r="456" spans="2:16" x14ac:dyDescent="0.15"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</row>
    <row r="457" spans="2:16" x14ac:dyDescent="0.15"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</row>
    <row r="458" spans="2:16" x14ac:dyDescent="0.15"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</row>
    <row r="459" spans="2:16" x14ac:dyDescent="0.15"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</row>
    <row r="460" spans="2:16" x14ac:dyDescent="0.15"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</row>
    <row r="461" spans="2:16" x14ac:dyDescent="0.15"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</row>
    <row r="462" spans="2:16" x14ac:dyDescent="0.15"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</row>
    <row r="463" spans="2:16" x14ac:dyDescent="0.15"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</row>
    <row r="464" spans="2:16" x14ac:dyDescent="0.15"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</row>
    <row r="465" spans="2:16" x14ac:dyDescent="0.15"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</row>
    <row r="466" spans="2:16" x14ac:dyDescent="0.15"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</row>
    <row r="467" spans="2:16" x14ac:dyDescent="0.15"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</row>
    <row r="468" spans="2:16" x14ac:dyDescent="0.15"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</row>
    <row r="469" spans="2:16" x14ac:dyDescent="0.15"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</row>
    <row r="470" spans="2:16" x14ac:dyDescent="0.15"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</row>
    <row r="471" spans="2:16" x14ac:dyDescent="0.15"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</row>
    <row r="472" spans="2:16" x14ac:dyDescent="0.15"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</row>
    <row r="473" spans="2:16" x14ac:dyDescent="0.15"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</row>
    <row r="474" spans="2:16" x14ac:dyDescent="0.15"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</row>
    <row r="475" spans="2:16" x14ac:dyDescent="0.15"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</row>
    <row r="476" spans="2:16" x14ac:dyDescent="0.15"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</row>
    <row r="477" spans="2:16" x14ac:dyDescent="0.15"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</row>
    <row r="478" spans="2:16" x14ac:dyDescent="0.15"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</row>
    <row r="479" spans="2:16" x14ac:dyDescent="0.15"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</row>
    <row r="480" spans="2:16" x14ac:dyDescent="0.15"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</row>
    <row r="481" spans="2:16" x14ac:dyDescent="0.15"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</row>
    <row r="482" spans="2:16" x14ac:dyDescent="0.15"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</row>
    <row r="483" spans="2:16" x14ac:dyDescent="0.15"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</row>
    <row r="484" spans="2:16" x14ac:dyDescent="0.15"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</row>
    <row r="485" spans="2:16" x14ac:dyDescent="0.15"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</row>
    <row r="486" spans="2:16" x14ac:dyDescent="0.15"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</row>
    <row r="487" spans="2:16" x14ac:dyDescent="0.15"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</row>
    <row r="488" spans="2:16" x14ac:dyDescent="0.15"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</row>
    <row r="489" spans="2:16" x14ac:dyDescent="0.15"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</row>
    <row r="490" spans="2:16" x14ac:dyDescent="0.15"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</row>
    <row r="491" spans="2:16" x14ac:dyDescent="0.15"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</row>
    <row r="492" spans="2:16" x14ac:dyDescent="0.15"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</row>
    <row r="493" spans="2:16" x14ac:dyDescent="0.15"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</row>
    <row r="494" spans="2:16" x14ac:dyDescent="0.15"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</row>
    <row r="495" spans="2:16" x14ac:dyDescent="0.15"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</row>
    <row r="496" spans="2:16" x14ac:dyDescent="0.15"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</row>
    <row r="497" spans="2:16" x14ac:dyDescent="0.15"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</row>
    <row r="498" spans="2:16" x14ac:dyDescent="0.15"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</row>
    <row r="499" spans="2:16" x14ac:dyDescent="0.15"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</row>
    <row r="500" spans="2:16" x14ac:dyDescent="0.15"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</row>
    <row r="501" spans="2:16" x14ac:dyDescent="0.15"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</row>
    <row r="502" spans="2:16" x14ac:dyDescent="0.15"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</row>
    <row r="503" spans="2:16" x14ac:dyDescent="0.15"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</row>
    <row r="504" spans="2:16" x14ac:dyDescent="0.15"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</row>
    <row r="505" spans="2:16" x14ac:dyDescent="0.15"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</row>
    <row r="506" spans="2:16" x14ac:dyDescent="0.15"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</row>
    <row r="507" spans="2:16" x14ac:dyDescent="0.15"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</row>
    <row r="508" spans="2:16" x14ac:dyDescent="0.15"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</row>
    <row r="509" spans="2:16" x14ac:dyDescent="0.15"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</row>
    <row r="510" spans="2:16" x14ac:dyDescent="0.15"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</row>
    <row r="511" spans="2:16" x14ac:dyDescent="0.15"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</row>
    <row r="512" spans="2:16" x14ac:dyDescent="0.15"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</row>
    <row r="513" spans="2:16" x14ac:dyDescent="0.15"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</row>
    <row r="514" spans="2:16" x14ac:dyDescent="0.15"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</row>
    <row r="515" spans="2:16" x14ac:dyDescent="0.15"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</row>
    <row r="516" spans="2:16" x14ac:dyDescent="0.15"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</row>
    <row r="517" spans="2:16" x14ac:dyDescent="0.15"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</row>
    <row r="518" spans="2:16" x14ac:dyDescent="0.15"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</row>
    <row r="519" spans="2:16" x14ac:dyDescent="0.15"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</row>
    <row r="520" spans="2:16" x14ac:dyDescent="0.15"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</row>
    <row r="521" spans="2:16" x14ac:dyDescent="0.15"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</row>
    <row r="522" spans="2:16" x14ac:dyDescent="0.15"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</row>
    <row r="523" spans="2:16" x14ac:dyDescent="0.15"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</row>
    <row r="524" spans="2:16" x14ac:dyDescent="0.15"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</row>
    <row r="525" spans="2:16" x14ac:dyDescent="0.15"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</row>
    <row r="526" spans="2:16" x14ac:dyDescent="0.15"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</row>
    <row r="527" spans="2:16" x14ac:dyDescent="0.15"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</row>
    <row r="528" spans="2:16" x14ac:dyDescent="0.15"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</row>
    <row r="529" spans="2:16" x14ac:dyDescent="0.15"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</row>
    <row r="530" spans="2:16" x14ac:dyDescent="0.15"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</row>
    <row r="531" spans="2:16" x14ac:dyDescent="0.15"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</row>
    <row r="532" spans="2:16" x14ac:dyDescent="0.15"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</row>
    <row r="533" spans="2:16" x14ac:dyDescent="0.15"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</row>
    <row r="534" spans="2:16" x14ac:dyDescent="0.15"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</row>
    <row r="535" spans="2:16" x14ac:dyDescent="0.15"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</row>
    <row r="536" spans="2:16" x14ac:dyDescent="0.15"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</row>
    <row r="537" spans="2:16" x14ac:dyDescent="0.15"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</row>
    <row r="538" spans="2:16" x14ac:dyDescent="0.15"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</row>
    <row r="539" spans="2:16" x14ac:dyDescent="0.15"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</row>
    <row r="540" spans="2:16" x14ac:dyDescent="0.15"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</row>
    <row r="541" spans="2:16" x14ac:dyDescent="0.15"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</row>
    <row r="542" spans="2:16" x14ac:dyDescent="0.15"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</row>
    <row r="543" spans="2:16" x14ac:dyDescent="0.15"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</row>
    <row r="544" spans="2:16" x14ac:dyDescent="0.15"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</row>
    <row r="545" spans="2:16" x14ac:dyDescent="0.15"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</row>
    <row r="546" spans="2:16" x14ac:dyDescent="0.15"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</row>
    <row r="547" spans="2:16" x14ac:dyDescent="0.15"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</row>
    <row r="548" spans="2:16" x14ac:dyDescent="0.15"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</row>
    <row r="549" spans="2:16" x14ac:dyDescent="0.15"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</row>
    <row r="550" spans="2:16" x14ac:dyDescent="0.15"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</row>
    <row r="551" spans="2:16" x14ac:dyDescent="0.15"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</row>
    <row r="552" spans="2:16" x14ac:dyDescent="0.15"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</row>
    <row r="553" spans="2:16" x14ac:dyDescent="0.15"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</row>
    <row r="554" spans="2:16" x14ac:dyDescent="0.15"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</row>
    <row r="555" spans="2:16" x14ac:dyDescent="0.15"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</row>
    <row r="556" spans="2:16" x14ac:dyDescent="0.15"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</row>
    <row r="557" spans="2:16" x14ac:dyDescent="0.15"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</row>
    <row r="558" spans="2:16" x14ac:dyDescent="0.15"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</row>
    <row r="559" spans="2:16" x14ac:dyDescent="0.15"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</row>
    <row r="560" spans="2:16" x14ac:dyDescent="0.15"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</row>
    <row r="561" spans="2:16" x14ac:dyDescent="0.15"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</row>
    <row r="562" spans="2:16" x14ac:dyDescent="0.15"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</row>
    <row r="563" spans="2:16" x14ac:dyDescent="0.15"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</row>
    <row r="564" spans="2:16" x14ac:dyDescent="0.15"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</row>
    <row r="565" spans="2:16" x14ac:dyDescent="0.15"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</row>
    <row r="566" spans="2:16" x14ac:dyDescent="0.15"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</row>
    <row r="567" spans="2:16" x14ac:dyDescent="0.15"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</row>
    <row r="568" spans="2:16" x14ac:dyDescent="0.15"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</row>
    <row r="569" spans="2:16" x14ac:dyDescent="0.15"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</row>
    <row r="570" spans="2:16" x14ac:dyDescent="0.15"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</row>
    <row r="571" spans="2:16" x14ac:dyDescent="0.15"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</row>
    <row r="572" spans="2:16" x14ac:dyDescent="0.15"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</row>
    <row r="573" spans="2:16" x14ac:dyDescent="0.15"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</row>
    <row r="574" spans="2:16" x14ac:dyDescent="0.15"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</row>
    <row r="575" spans="2:16" x14ac:dyDescent="0.15"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</row>
    <row r="576" spans="2:16" x14ac:dyDescent="0.15"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</row>
    <row r="577" spans="2:16" x14ac:dyDescent="0.15"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</row>
    <row r="578" spans="2:16" x14ac:dyDescent="0.15"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</row>
    <row r="579" spans="2:16" x14ac:dyDescent="0.15"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</row>
    <row r="580" spans="2:16" x14ac:dyDescent="0.15"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</row>
    <row r="581" spans="2:16" x14ac:dyDescent="0.15"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</row>
    <row r="582" spans="2:16" x14ac:dyDescent="0.15"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</row>
    <row r="583" spans="2:16" x14ac:dyDescent="0.15"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</row>
    <row r="584" spans="2:16" x14ac:dyDescent="0.15"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</row>
    <row r="585" spans="2:16" x14ac:dyDescent="0.15"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</row>
    <row r="586" spans="2:16" x14ac:dyDescent="0.15"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</row>
    <row r="587" spans="2:16" x14ac:dyDescent="0.15"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</row>
    <row r="588" spans="2:16" x14ac:dyDescent="0.15"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</row>
    <row r="589" spans="2:16" x14ac:dyDescent="0.15"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</row>
    <row r="590" spans="2:16" x14ac:dyDescent="0.15"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</row>
    <row r="591" spans="2:16" x14ac:dyDescent="0.15"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</row>
    <row r="592" spans="2:16" x14ac:dyDescent="0.15"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</row>
    <row r="593" spans="2:16" x14ac:dyDescent="0.15"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</row>
    <row r="594" spans="2:16" x14ac:dyDescent="0.15"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</row>
    <row r="595" spans="2:16" x14ac:dyDescent="0.15"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</row>
    <row r="596" spans="2:16" x14ac:dyDescent="0.15"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</row>
    <row r="597" spans="2:16" x14ac:dyDescent="0.15"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</row>
    <row r="598" spans="2:16" x14ac:dyDescent="0.15"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</row>
    <row r="599" spans="2:16" x14ac:dyDescent="0.15"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</row>
    <row r="600" spans="2:16" x14ac:dyDescent="0.15"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</row>
    <row r="601" spans="2:16" x14ac:dyDescent="0.15"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</row>
    <row r="602" spans="2:16" x14ac:dyDescent="0.15"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</row>
    <row r="603" spans="2:16" x14ac:dyDescent="0.15"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</row>
    <row r="604" spans="2:16" x14ac:dyDescent="0.15"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</row>
    <row r="605" spans="2:16" x14ac:dyDescent="0.15"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</row>
    <row r="606" spans="2:16" x14ac:dyDescent="0.15"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</row>
    <row r="607" spans="2:16" x14ac:dyDescent="0.15"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</row>
    <row r="608" spans="2:16" x14ac:dyDescent="0.15"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</row>
    <row r="609" spans="2:16" x14ac:dyDescent="0.15"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</row>
    <row r="610" spans="2:16" x14ac:dyDescent="0.15"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</row>
    <row r="611" spans="2:16" x14ac:dyDescent="0.15"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</row>
    <row r="612" spans="2:16" x14ac:dyDescent="0.15"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</row>
    <row r="613" spans="2:16" x14ac:dyDescent="0.15"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</row>
    <row r="614" spans="2:16" x14ac:dyDescent="0.15"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</row>
    <row r="615" spans="2:16" x14ac:dyDescent="0.15"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</row>
    <row r="616" spans="2:16" x14ac:dyDescent="0.15"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</row>
    <row r="617" spans="2:16" x14ac:dyDescent="0.15"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</row>
    <row r="618" spans="2:16" x14ac:dyDescent="0.15"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</row>
    <row r="619" spans="2:16" x14ac:dyDescent="0.15"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</row>
    <row r="620" spans="2:16" x14ac:dyDescent="0.15"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</row>
    <row r="621" spans="2:16" x14ac:dyDescent="0.15"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</row>
    <row r="622" spans="2:16" x14ac:dyDescent="0.15"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</row>
    <row r="623" spans="2:16" x14ac:dyDescent="0.15"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</row>
    <row r="624" spans="2:16" x14ac:dyDescent="0.15"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</row>
    <row r="625" spans="2:16" x14ac:dyDescent="0.15"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</row>
    <row r="626" spans="2:16" x14ac:dyDescent="0.15"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</row>
    <row r="627" spans="2:16" x14ac:dyDescent="0.15"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</row>
    <row r="628" spans="2:16" x14ac:dyDescent="0.15"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</row>
    <row r="629" spans="2:16" x14ac:dyDescent="0.15"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</row>
    <row r="630" spans="2:16" x14ac:dyDescent="0.15"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</row>
    <row r="631" spans="2:16" x14ac:dyDescent="0.15"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</row>
    <row r="632" spans="2:16" x14ac:dyDescent="0.15"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</row>
    <row r="633" spans="2:16" x14ac:dyDescent="0.15"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</row>
    <row r="634" spans="2:16" x14ac:dyDescent="0.15"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</row>
    <row r="635" spans="2:16" x14ac:dyDescent="0.15"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</row>
    <row r="636" spans="2:16" x14ac:dyDescent="0.15"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</row>
    <row r="637" spans="2:16" x14ac:dyDescent="0.15"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</row>
    <row r="638" spans="2:16" x14ac:dyDescent="0.15"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</row>
    <row r="639" spans="2:16" x14ac:dyDescent="0.15"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</row>
    <row r="640" spans="2:16" x14ac:dyDescent="0.15"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</row>
    <row r="641" spans="2:16" x14ac:dyDescent="0.15"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</row>
    <row r="642" spans="2:16" x14ac:dyDescent="0.15"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</row>
    <row r="643" spans="2:16" x14ac:dyDescent="0.15"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</row>
    <row r="644" spans="2:16" x14ac:dyDescent="0.15"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</row>
    <row r="645" spans="2:16" x14ac:dyDescent="0.15"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</row>
    <row r="646" spans="2:16" x14ac:dyDescent="0.15"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</row>
    <row r="647" spans="2:16" x14ac:dyDescent="0.15"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</row>
    <row r="648" spans="2:16" x14ac:dyDescent="0.15"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</row>
    <row r="649" spans="2:16" x14ac:dyDescent="0.15"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</row>
    <row r="650" spans="2:16" x14ac:dyDescent="0.15"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</row>
    <row r="651" spans="2:16" x14ac:dyDescent="0.15"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</row>
    <row r="652" spans="2:16" x14ac:dyDescent="0.15"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</row>
    <row r="653" spans="2:16" x14ac:dyDescent="0.15"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</row>
    <row r="654" spans="2:16" x14ac:dyDescent="0.15"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</row>
    <row r="655" spans="2:16" x14ac:dyDescent="0.15"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</row>
    <row r="656" spans="2:16" x14ac:dyDescent="0.15"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</row>
    <row r="657" spans="2:16" x14ac:dyDescent="0.15"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</row>
    <row r="658" spans="2:16" x14ac:dyDescent="0.15"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</row>
    <row r="659" spans="2:16" x14ac:dyDescent="0.15"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</row>
    <row r="660" spans="2:16" x14ac:dyDescent="0.15"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</row>
    <row r="661" spans="2:16" x14ac:dyDescent="0.15"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</row>
    <row r="662" spans="2:16" x14ac:dyDescent="0.15"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</row>
    <row r="663" spans="2:16" x14ac:dyDescent="0.15"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</row>
    <row r="664" spans="2:16" x14ac:dyDescent="0.15"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</row>
    <row r="665" spans="2:16" x14ac:dyDescent="0.15"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</row>
    <row r="666" spans="2:16" x14ac:dyDescent="0.15"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</row>
    <row r="667" spans="2:16" x14ac:dyDescent="0.15"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</row>
    <row r="668" spans="2:16" x14ac:dyDescent="0.15"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</row>
    <row r="669" spans="2:16" x14ac:dyDescent="0.15"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</row>
    <row r="670" spans="2:16" x14ac:dyDescent="0.15"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</row>
    <row r="671" spans="2:16" x14ac:dyDescent="0.15"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</row>
    <row r="672" spans="2:16" x14ac:dyDescent="0.15"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</row>
    <row r="673" spans="2:16" x14ac:dyDescent="0.15"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</row>
    <row r="674" spans="2:16" x14ac:dyDescent="0.15"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</row>
    <row r="675" spans="2:16" x14ac:dyDescent="0.15"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</row>
    <row r="676" spans="2:16" x14ac:dyDescent="0.15"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</row>
    <row r="677" spans="2:16" x14ac:dyDescent="0.15"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</row>
    <row r="678" spans="2:16" x14ac:dyDescent="0.15"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</row>
    <row r="679" spans="2:16" x14ac:dyDescent="0.15"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</row>
    <row r="680" spans="2:16" x14ac:dyDescent="0.15"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</row>
    <row r="681" spans="2:16" x14ac:dyDescent="0.15"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</row>
    <row r="682" spans="2:16" x14ac:dyDescent="0.15"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</row>
    <row r="683" spans="2:16" x14ac:dyDescent="0.15"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</row>
    <row r="684" spans="2:16" x14ac:dyDescent="0.15"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</row>
    <row r="685" spans="2:16" x14ac:dyDescent="0.15"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</row>
    <row r="686" spans="2:16" x14ac:dyDescent="0.15"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</row>
    <row r="687" spans="2:16" x14ac:dyDescent="0.15"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</row>
    <row r="688" spans="2:16" x14ac:dyDescent="0.15"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</row>
    <row r="689" spans="2:16" x14ac:dyDescent="0.15"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</row>
    <row r="690" spans="2:16" x14ac:dyDescent="0.15"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</row>
    <row r="691" spans="2:16" x14ac:dyDescent="0.15"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</row>
    <row r="692" spans="2:16" x14ac:dyDescent="0.15"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</row>
    <row r="693" spans="2:16" x14ac:dyDescent="0.15"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</row>
    <row r="694" spans="2:16" x14ac:dyDescent="0.15"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</row>
    <row r="695" spans="2:16" x14ac:dyDescent="0.15"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</row>
    <row r="696" spans="2:16" x14ac:dyDescent="0.15"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</row>
    <row r="697" spans="2:16" x14ac:dyDescent="0.15"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</row>
    <row r="698" spans="2:16" x14ac:dyDescent="0.15"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</row>
    <row r="699" spans="2:16" x14ac:dyDescent="0.15"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</row>
    <row r="700" spans="2:16" x14ac:dyDescent="0.15"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</row>
    <row r="701" spans="2:16" x14ac:dyDescent="0.15"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</row>
    <row r="702" spans="2:16" x14ac:dyDescent="0.15"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</row>
    <row r="703" spans="2:16" x14ac:dyDescent="0.15"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</row>
    <row r="704" spans="2:16" x14ac:dyDescent="0.15"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</row>
    <row r="705" spans="2:16" x14ac:dyDescent="0.15"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</row>
    <row r="706" spans="2:16" x14ac:dyDescent="0.15"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</row>
    <row r="707" spans="2:16" x14ac:dyDescent="0.15"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</row>
    <row r="708" spans="2:16" x14ac:dyDescent="0.15"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</row>
    <row r="709" spans="2:16" x14ac:dyDescent="0.15"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</row>
    <row r="710" spans="2:16" x14ac:dyDescent="0.15"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</row>
    <row r="711" spans="2:16" x14ac:dyDescent="0.15"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</row>
    <row r="712" spans="2:16" x14ac:dyDescent="0.15"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</row>
    <row r="713" spans="2:16" x14ac:dyDescent="0.15"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</row>
    <row r="714" spans="2:16" x14ac:dyDescent="0.15"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</row>
    <row r="715" spans="2:16" x14ac:dyDescent="0.15"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</row>
    <row r="716" spans="2:16" x14ac:dyDescent="0.15"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</row>
    <row r="717" spans="2:16" x14ac:dyDescent="0.15"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</row>
    <row r="718" spans="2:16" x14ac:dyDescent="0.15"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</row>
    <row r="719" spans="2:16" x14ac:dyDescent="0.15"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</row>
    <row r="720" spans="2:16" x14ac:dyDescent="0.15"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</row>
    <row r="721" spans="2:16" x14ac:dyDescent="0.15"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</row>
    <row r="722" spans="2:16" x14ac:dyDescent="0.15"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</row>
    <row r="723" spans="2:16" x14ac:dyDescent="0.15"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</row>
    <row r="724" spans="2:16" x14ac:dyDescent="0.15"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</row>
    <row r="725" spans="2:16" x14ac:dyDescent="0.15"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</row>
    <row r="726" spans="2:16" x14ac:dyDescent="0.15"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</row>
    <row r="727" spans="2:16" x14ac:dyDescent="0.15"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</row>
    <row r="728" spans="2:16" x14ac:dyDescent="0.15"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</row>
    <row r="729" spans="2:16" x14ac:dyDescent="0.15"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</row>
    <row r="730" spans="2:16" x14ac:dyDescent="0.15"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</row>
    <row r="731" spans="2:16" x14ac:dyDescent="0.15"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</row>
    <row r="732" spans="2:16" x14ac:dyDescent="0.15"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</row>
    <row r="733" spans="2:16" x14ac:dyDescent="0.15"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</row>
    <row r="734" spans="2:16" x14ac:dyDescent="0.15"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</row>
    <row r="735" spans="2:16" x14ac:dyDescent="0.15"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</row>
    <row r="736" spans="2:16" x14ac:dyDescent="0.15"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</row>
    <row r="737" spans="2:16" x14ac:dyDescent="0.15"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</row>
    <row r="738" spans="2:16" x14ac:dyDescent="0.15"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</row>
    <row r="739" spans="2:16" x14ac:dyDescent="0.15"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</row>
    <row r="740" spans="2:16" x14ac:dyDescent="0.15"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</row>
    <row r="741" spans="2:16" x14ac:dyDescent="0.15"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</row>
    <row r="742" spans="2:16" x14ac:dyDescent="0.15"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</row>
    <row r="743" spans="2:16" x14ac:dyDescent="0.15"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</row>
    <row r="744" spans="2:16" x14ac:dyDescent="0.15"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</row>
    <row r="745" spans="2:16" x14ac:dyDescent="0.15"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</row>
    <row r="746" spans="2:16" x14ac:dyDescent="0.15"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</row>
    <row r="747" spans="2:16" x14ac:dyDescent="0.15"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</row>
    <row r="748" spans="2:16" x14ac:dyDescent="0.15"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</row>
    <row r="749" spans="2:16" x14ac:dyDescent="0.15"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</row>
    <row r="750" spans="2:16" x14ac:dyDescent="0.15"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</row>
    <row r="751" spans="2:16" x14ac:dyDescent="0.15"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</row>
    <row r="752" spans="2:16" x14ac:dyDescent="0.15"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</row>
    <row r="753" spans="2:16" x14ac:dyDescent="0.15"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</row>
    <row r="754" spans="2:16" x14ac:dyDescent="0.15"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</row>
    <row r="755" spans="2:16" x14ac:dyDescent="0.15"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</row>
    <row r="756" spans="2:16" x14ac:dyDescent="0.15"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</row>
    <row r="757" spans="2:16" x14ac:dyDescent="0.15"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</row>
    <row r="758" spans="2:16" x14ac:dyDescent="0.15"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</row>
    <row r="759" spans="2:16" x14ac:dyDescent="0.15"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</row>
    <row r="760" spans="2:16" x14ac:dyDescent="0.15"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</row>
    <row r="761" spans="2:16" x14ac:dyDescent="0.15"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</row>
    <row r="762" spans="2:16" x14ac:dyDescent="0.15"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</row>
    <row r="763" spans="2:16" x14ac:dyDescent="0.15"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</row>
    <row r="764" spans="2:16" x14ac:dyDescent="0.15"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</row>
    <row r="765" spans="2:16" x14ac:dyDescent="0.15"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</row>
    <row r="766" spans="2:16" x14ac:dyDescent="0.15"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</row>
    <row r="767" spans="2:16" x14ac:dyDescent="0.15"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</row>
    <row r="768" spans="2:16" x14ac:dyDescent="0.15"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</row>
    <row r="769" spans="2:16" x14ac:dyDescent="0.15"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</row>
    <row r="770" spans="2:16" x14ac:dyDescent="0.15"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</row>
    <row r="771" spans="2:16" x14ac:dyDescent="0.15"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</row>
    <row r="772" spans="2:16" x14ac:dyDescent="0.15"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</row>
    <row r="773" spans="2:16" x14ac:dyDescent="0.15"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</row>
    <row r="774" spans="2:16" x14ac:dyDescent="0.15"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</row>
    <row r="775" spans="2:16" x14ac:dyDescent="0.15"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</row>
    <row r="776" spans="2:16" x14ac:dyDescent="0.15"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</row>
    <row r="777" spans="2:16" x14ac:dyDescent="0.15"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</row>
    <row r="778" spans="2:16" x14ac:dyDescent="0.15"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</row>
    <row r="779" spans="2:16" x14ac:dyDescent="0.15"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</row>
    <row r="780" spans="2:16" x14ac:dyDescent="0.15"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</row>
    <row r="781" spans="2:16" x14ac:dyDescent="0.15"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</row>
    <row r="782" spans="2:16" x14ac:dyDescent="0.15"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</row>
    <row r="783" spans="2:16" x14ac:dyDescent="0.15"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</row>
    <row r="784" spans="2:16" x14ac:dyDescent="0.15"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</row>
    <row r="785" spans="2:16" x14ac:dyDescent="0.15"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</row>
    <row r="786" spans="2:16" x14ac:dyDescent="0.15"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</row>
    <row r="787" spans="2:16" x14ac:dyDescent="0.15"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</row>
    <row r="788" spans="2:16" x14ac:dyDescent="0.15"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</row>
    <row r="789" spans="2:16" x14ac:dyDescent="0.15"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</row>
    <row r="790" spans="2:16" x14ac:dyDescent="0.15"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</row>
    <row r="791" spans="2:16" x14ac:dyDescent="0.15"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</row>
    <row r="792" spans="2:16" x14ac:dyDescent="0.15"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</row>
    <row r="793" spans="2:16" x14ac:dyDescent="0.15"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</row>
    <row r="794" spans="2:16" x14ac:dyDescent="0.15"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</row>
    <row r="795" spans="2:16" x14ac:dyDescent="0.15"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</row>
    <row r="796" spans="2:16" x14ac:dyDescent="0.15"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</row>
    <row r="797" spans="2:16" x14ac:dyDescent="0.15"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</row>
    <row r="798" spans="2:16" x14ac:dyDescent="0.15"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</row>
  </sheetData>
  <sortState xmlns:xlrd2="http://schemas.microsoft.com/office/spreadsheetml/2017/richdata2" ref="Q7:Q22">
    <sortCondition ref="Q7:Q22"/>
  </sortState>
  <conditionalFormatting sqref="B2:Q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Déroulé</vt:lpstr>
      <vt:lpstr>Déroulé résumé</vt:lpstr>
      <vt:lpstr>Final</vt:lpstr>
      <vt:lpstr>Liste passages + Précipités</vt:lpstr>
      <vt:lpstr>Participants Gala</vt:lpstr>
      <vt:lpstr>Déroulé!Zone_d_impression</vt:lpstr>
      <vt:lpstr>'Déroulé résumé'!Zone_d_impression</vt:lpstr>
      <vt:lpstr>'Liste passages + Précipités'!Zone_d_impression</vt:lpstr>
      <vt:lpstr>'Participants Gala'!Zone_d_impression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Orianne Tourdias</dc:creator>
  <cp:lastModifiedBy>Praful Amravati</cp:lastModifiedBy>
  <cp:lastPrinted>2026-04-15T22:59:33Z</cp:lastPrinted>
  <dcterms:created xsi:type="dcterms:W3CDTF">2012-01-05T16:02:22Z</dcterms:created>
  <dcterms:modified xsi:type="dcterms:W3CDTF">2026-04-28T05:37:20Z</dcterms:modified>
</cp:coreProperties>
</file>